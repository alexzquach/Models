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Retail Brands\"/>
    </mc:Choice>
  </mc:AlternateContent>
  <xr:revisionPtr revIDLastSave="0" documentId="13_ncr:1_{64B9FE99-91E7-4C73-B428-4446E38DAE89}" xr6:coauthVersionLast="47" xr6:coauthVersionMax="47" xr10:uidLastSave="{00000000-0000-0000-0000-000000000000}"/>
  <bookViews>
    <workbookView xWindow="-120" yWindow="-120" windowWidth="38640" windowHeight="21120" activeTab="1" xr2:uid="{74C982A1-EE30-4588-AA95-0E58E4E415F0}"/>
  </bookViews>
  <sheets>
    <sheet name="Main" sheetId="1" r:id="rId1"/>
    <sheet name="Model" sheetId="2" r:id="rId2"/>
    <sheet name="Debt" sheetId="9" r:id="rId3"/>
    <sheet name="Stores" sheetId="10" r:id="rId4"/>
    <sheet name="Peer Comparison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8" i="2"/>
  <c r="AC39" i="2"/>
  <c r="AC40" i="2"/>
  <c r="AC37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K2" i="10"/>
  <c r="K3" i="10"/>
  <c r="B10" i="9" l="1"/>
  <c r="B8" i="9"/>
  <c r="D16" i="2" l="1"/>
  <c r="E16" i="2"/>
  <c r="F16" i="2"/>
  <c r="G16" i="2"/>
  <c r="D11" i="2"/>
  <c r="D13" i="2" s="1"/>
  <c r="E11" i="2"/>
  <c r="E13" i="2" s="1"/>
  <c r="F11" i="2"/>
  <c r="F13" i="2" s="1"/>
  <c r="G11" i="2"/>
  <c r="G23" i="2" s="1"/>
  <c r="D28" i="2"/>
  <c r="H30" i="2" s="1"/>
  <c r="E28" i="2"/>
  <c r="F28" i="2"/>
  <c r="G28" i="2"/>
  <c r="D21" i="2"/>
  <c r="E21" i="2"/>
  <c r="F21" i="2"/>
  <c r="G21" i="2"/>
  <c r="H21" i="2"/>
  <c r="D20" i="2"/>
  <c r="E20" i="2"/>
  <c r="F20" i="2"/>
  <c r="G20" i="2"/>
  <c r="H20" i="2"/>
  <c r="I20" i="2"/>
  <c r="J20" i="2"/>
  <c r="K20" i="2"/>
  <c r="P11" i="2"/>
  <c r="K11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AC11" i="2"/>
  <c r="AC13" i="2" s="1"/>
  <c r="AB11" i="2"/>
  <c r="AB13" i="2" s="1"/>
  <c r="AA11" i="2"/>
  <c r="AA13" i="2" s="1"/>
  <c r="Z11" i="2"/>
  <c r="Y11" i="2"/>
  <c r="X11" i="2"/>
  <c r="W11" i="2"/>
  <c r="V11" i="2"/>
  <c r="V23" i="2" s="1"/>
  <c r="U11" i="2"/>
  <c r="T11" i="2"/>
  <c r="S11" i="2"/>
  <c r="R11" i="2"/>
  <c r="Q11" i="2"/>
  <c r="O11" i="2"/>
  <c r="N11" i="2"/>
  <c r="M11" i="2"/>
  <c r="L11" i="2"/>
  <c r="J11" i="2"/>
  <c r="I11" i="2"/>
  <c r="H11" i="2"/>
  <c r="O13" i="2" l="1"/>
  <c r="O24" i="2" s="1"/>
  <c r="O23" i="2"/>
  <c r="P13" i="2"/>
  <c r="P24" i="2" s="1"/>
  <c r="P23" i="2"/>
  <c r="U13" i="2"/>
  <c r="U24" i="2" s="1"/>
  <c r="U23" i="2"/>
  <c r="Y13" i="2"/>
  <c r="Y24" i="2" s="1"/>
  <c r="Y23" i="2"/>
  <c r="Q13" i="2"/>
  <c r="Q24" i="2" s="1"/>
  <c r="Q23" i="2"/>
  <c r="X13" i="2"/>
  <c r="X24" i="2" s="1"/>
  <c r="X23" i="2"/>
  <c r="G13" i="2"/>
  <c r="G24" i="2" s="1"/>
  <c r="W13" i="2"/>
  <c r="W24" i="2" s="1"/>
  <c r="W23" i="2"/>
  <c r="J13" i="2"/>
  <c r="J24" i="2" s="1"/>
  <c r="J23" i="2"/>
  <c r="K13" i="2"/>
  <c r="K24" i="2" s="1"/>
  <c r="K23" i="2"/>
  <c r="Z13" i="2"/>
  <c r="Z24" i="2" s="1"/>
  <c r="Z23" i="2"/>
  <c r="N13" i="2"/>
  <c r="N24" i="2" s="1"/>
  <c r="N23" i="2"/>
  <c r="H13" i="2"/>
  <c r="H24" i="2" s="1"/>
  <c r="H23" i="2"/>
  <c r="L13" i="2"/>
  <c r="L24" i="2" s="1"/>
  <c r="L23" i="2"/>
  <c r="I13" i="2"/>
  <c r="I24" i="2" s="1"/>
  <c r="I23" i="2"/>
  <c r="M13" i="2"/>
  <c r="M24" i="2" s="1"/>
  <c r="M23" i="2"/>
  <c r="R13" i="2"/>
  <c r="R24" i="2" s="1"/>
  <c r="R23" i="2"/>
  <c r="S13" i="2"/>
  <c r="S24" i="2" s="1"/>
  <c r="S23" i="2"/>
  <c r="T13" i="2"/>
  <c r="T24" i="2" s="1"/>
  <c r="T23" i="2"/>
  <c r="G30" i="2"/>
  <c r="D30" i="2"/>
  <c r="I30" i="2"/>
  <c r="F30" i="2"/>
  <c r="E30" i="2"/>
  <c r="K30" i="2"/>
  <c r="AA30" i="2"/>
  <c r="J30" i="2"/>
  <c r="L30" i="2"/>
  <c r="AB30" i="2"/>
  <c r="M30" i="2"/>
  <c r="O30" i="2"/>
  <c r="N30" i="2"/>
  <c r="V13" i="2"/>
  <c r="V24" i="2" s="1"/>
  <c r="Y30" i="2"/>
  <c r="Z30" i="2"/>
  <c r="P30" i="2"/>
  <c r="AC30" i="2"/>
  <c r="T30" i="2"/>
  <c r="Q30" i="2"/>
  <c r="R30" i="2"/>
  <c r="S30" i="2"/>
  <c r="X30" i="2"/>
  <c r="U30" i="2"/>
  <c r="V30" i="2"/>
  <c r="W30" i="2"/>
  <c r="B6" i="1"/>
  <c r="B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Quach</author>
  </authors>
  <commentList>
    <comment ref="A8" authorId="0" shapeId="0" xr:uid="{9BF3E320-2C8B-452E-893D-8D9DA8F99FD7}">
      <text>
        <r>
          <rPr>
            <b/>
            <sz val="9"/>
            <color indexed="81"/>
            <rFont val="Tahoma"/>
            <family val="2"/>
          </rPr>
          <t>Alex Quach:</t>
        </r>
        <r>
          <rPr>
            <sz val="9"/>
            <color indexed="81"/>
            <rFont val="Tahoma"/>
            <family val="2"/>
          </rPr>
          <t xml:space="preserve">
Long Term Debt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</author>
  </authors>
  <commentList>
    <comment ref="S24" authorId="0" shapeId="0" xr:uid="{C14B786A-8295-45AC-8F8D-BFA6740F88CE}">
      <text>
        <r>
          <rPr>
            <b/>
            <sz val="9"/>
            <color indexed="81"/>
            <rFont val="Tahoma"/>
            <charset val="1"/>
          </rPr>
          <t>Alex:</t>
        </r>
        <r>
          <rPr>
            <sz val="9"/>
            <color indexed="81"/>
            <rFont val="Tahoma"/>
            <charset val="1"/>
          </rPr>
          <t xml:space="preserve">
Impairment of asset
</t>
        </r>
      </text>
    </comment>
  </commentList>
</comments>
</file>

<file path=xl/sharedStrings.xml><?xml version="1.0" encoding="utf-8"?>
<sst xmlns="http://schemas.openxmlformats.org/spreadsheetml/2006/main" count="133" uniqueCount="115">
  <si>
    <t>Price</t>
  </si>
  <si>
    <t>Symbol:</t>
  </si>
  <si>
    <t>Shares Outstanding</t>
  </si>
  <si>
    <t>Market Cap</t>
  </si>
  <si>
    <t>Debt</t>
  </si>
  <si>
    <t>Q12025</t>
  </si>
  <si>
    <t>(In Millions)</t>
  </si>
  <si>
    <t>Enterprise Value</t>
  </si>
  <si>
    <t>Main</t>
  </si>
  <si>
    <t>Revenue</t>
  </si>
  <si>
    <t>Gross Profit</t>
  </si>
  <si>
    <t>Operating Income</t>
  </si>
  <si>
    <t>Net Income</t>
  </si>
  <si>
    <t>FCF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</si>
  <si>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</si>
  <si>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</si>
  <si>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</si>
  <si>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</si>
  <si>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</si>
  <si>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</si>
  <si>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</si>
  <si>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</si>
  <si>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</si>
  <si>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</si>
  <si>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Capital Expendature</t>
  </si>
  <si>
    <t>Cash Flow from Operations</t>
  </si>
  <si>
    <t>Cash + PPE</t>
  </si>
  <si>
    <t>Book Value</t>
  </si>
  <si>
    <t>Q22025</t>
  </si>
  <si>
    <t>Q32025</t>
  </si>
  <si>
    <t>Q42025</t>
  </si>
  <si>
    <t>Cash Per Share</t>
  </si>
  <si>
    <t>Q12026</t>
  </si>
  <si>
    <t>Cost Of Revenue</t>
  </si>
  <si>
    <t>Diluted EPS</t>
  </si>
  <si>
    <t>Basic EPS</t>
  </si>
  <si>
    <t>Cash Flow Growth</t>
  </si>
  <si>
    <t>Guidance</t>
  </si>
  <si>
    <t>(IN MILLIONS)</t>
  </si>
  <si>
    <t>Events</t>
  </si>
  <si>
    <t>Revenue Growth YOY Q</t>
  </si>
  <si>
    <t>Revenue Growth last Q</t>
  </si>
  <si>
    <t>Income Before taxes</t>
  </si>
  <si>
    <t>Tax</t>
  </si>
  <si>
    <t>Gross Margin</t>
  </si>
  <si>
    <t>Operating Margin</t>
  </si>
  <si>
    <t>Q12022</t>
  </si>
  <si>
    <t>Q22022</t>
  </si>
  <si>
    <t>No Notes</t>
  </si>
  <si>
    <t>Operating Lease Liabilities (Current)</t>
  </si>
  <si>
    <t>Long Term Lease Liabilities</t>
  </si>
  <si>
    <t>Total Lease Liabilities</t>
  </si>
  <si>
    <t>Q12021</t>
  </si>
  <si>
    <t>Q22021</t>
  </si>
  <si>
    <t>Q32021</t>
  </si>
  <si>
    <t>Q42021</t>
  </si>
  <si>
    <t>Q12020</t>
  </si>
  <si>
    <t>Q22020</t>
  </si>
  <si>
    <t>Q32020</t>
  </si>
  <si>
    <t>Q42020</t>
  </si>
  <si>
    <t>SG&amp;A</t>
  </si>
  <si>
    <t>COVID</t>
  </si>
  <si>
    <t>Company</t>
  </si>
  <si>
    <t>Revenue(US $ bn)*</t>
  </si>
  <si>
    <t>Net Income(US $ bn)*</t>
  </si>
  <si>
    <t>P/E</t>
  </si>
  <si>
    <t>Fwd P/E</t>
  </si>
  <si>
    <t>EV / EBITDA</t>
  </si>
  <si>
    <t>Price / Sales</t>
  </si>
  <si>
    <t>American Eagle (AEO)</t>
  </si>
  <si>
    <t>Abercrombie (ANF)</t>
  </si>
  <si>
    <t>Gap (GPS)</t>
  </si>
  <si>
    <t>Levi Strauss (LEVI)</t>
  </si>
  <si>
    <t>Urban Outfitters (URBN)</t>
  </si>
  <si>
    <t>Buckle (BKE)</t>
  </si>
  <si>
    <t>Lululemon (LULU)</t>
  </si>
  <si>
    <t>Price/Sales</t>
  </si>
  <si>
    <t>Price/Book</t>
  </si>
  <si>
    <t>EV/Revenue</t>
  </si>
  <si>
    <t>EV/EBITDA</t>
  </si>
  <si>
    <t>Forward P/E</t>
  </si>
  <si>
    <t>TTM P/E</t>
  </si>
  <si>
    <t>Q12019</t>
  </si>
  <si>
    <t>Q22019</t>
  </si>
  <si>
    <t>Q32019</t>
  </si>
  <si>
    <t>Q42019</t>
  </si>
  <si>
    <t>Shares outstanding</t>
  </si>
  <si>
    <t>ATZ.TO (Aritzia)*</t>
  </si>
  <si>
    <t>H&amp;M (STO:HM.B)*</t>
  </si>
  <si>
    <t>Victorias Secret (VSCO)</t>
  </si>
  <si>
    <t>GAP - Gap, INC.</t>
  </si>
  <si>
    <t>Senior Notes 3.625% Oct 2029</t>
  </si>
  <si>
    <t>Senior Notes 3.875 Oct 2031</t>
  </si>
  <si>
    <t>ABL Revolver 2.2 Capacity</t>
  </si>
  <si>
    <t>Total Debt</t>
  </si>
  <si>
    <t>Old Navy</t>
  </si>
  <si>
    <t>Gap</t>
  </si>
  <si>
    <t>Banana Republic</t>
  </si>
  <si>
    <t>Athleta</t>
  </si>
  <si>
    <t>1.5-2.5% Growth</t>
  </si>
  <si>
    <t>200 BPS net tariff to gorss margin</t>
  </si>
  <si>
    <t>Gap NA</t>
  </si>
  <si>
    <t>Gap Asia</t>
  </si>
  <si>
    <t>Banana Republic NA</t>
  </si>
  <si>
    <t>BR Asia</t>
  </si>
  <si>
    <t>Athleta NA</t>
  </si>
  <si>
    <t>Other</t>
  </si>
  <si>
    <t>Comparable Sales YOY</t>
  </si>
  <si>
    <t>0.165 Dividend</t>
  </si>
  <si>
    <t>Katseye trending AD</t>
  </si>
  <si>
    <t xml:space="preserve">Gap </t>
  </si>
  <si>
    <t>Net Sales</t>
  </si>
  <si>
    <t>Total Stores</t>
  </si>
  <si>
    <t>Comparable Sales with 2019 because of covid</t>
  </si>
  <si>
    <t>Looking for similar AEO 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</si>
</sst>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61">
    <xf numFmtId="0" fontId="0" fillId="0" borderId="0" xfId="0"/>
    <xf numFmtId="0" fontId="9" fillId="0" borderId="0" xfId="0" applyFont="1"/>
    <xf numFmtId="14" fontId="9" fillId="0" borderId="0" xfId="0" applyNumberFormat="1" applyFont="1"/>
    <xf numFmtId="3" fontId="10" fillId="2" borderId="0" xfId="0" applyNumberFormat="1" applyFont="1" applyFill="1"/>
    <xf numFmtId="1" fontId="10" fillId="2" borderId="0" xfId="0" applyNumberFormat="1" applyFont="1" applyFill="1"/>
    <xf numFmtId="0" fontId="10" fillId="2" borderId="0" xfId="0" applyFont="1" applyFill="1"/>
    <xf numFmtId="9" fontId="9" fillId="0" borderId="0" xfId="1" applyFont="1"/>
    <xf numFmtId="9" fontId="9" fillId="0" borderId="0" xfId="1" applyFont="1" applyFill="1"/>
    <xf numFmtId="0" fontId="10" fillId="0" borderId="0" xfId="0" applyFont="1"/>
    <xf numFmtId="0" fontId="9" fillId="0" borderId="0" xfId="1" applyNumberFormat="1" applyFont="1"/>
    <xf numFmtId="10" fontId="9" fillId="0" borderId="0" xfId="0" applyNumberFormat="1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1" fontId="9" fillId="0" borderId="0" xfId="0" applyNumberFormat="1" applyFont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0" fontId="10" fillId="0" borderId="0" xfId="0" applyNumberFormat="1" applyFont="1" applyAlignment="1">
      <alignment vertical="center"/>
    </xf>
    <xf numFmtId="0" fontId="11" fillId="0" borderId="0" xfId="2" applyFont="1"/>
    <xf numFmtId="164" fontId="9" fillId="0" borderId="0" xfId="0" applyNumberFormat="1" applyFont="1"/>
    <xf numFmtId="3" fontId="9" fillId="0" borderId="0" xfId="0" applyNumberFormat="1" applyFont="1"/>
    <xf numFmtId="0" fontId="12" fillId="0" borderId="0" xfId="0" applyFont="1"/>
    <xf numFmtId="4" fontId="9" fillId="0" borderId="0" xfId="0" applyNumberFormat="1" applyFont="1"/>
    <xf numFmtId="3" fontId="10" fillId="0" borderId="0" xfId="0" applyNumberFormat="1" applyFont="1"/>
    <xf numFmtId="0" fontId="13" fillId="0" borderId="0" xfId="0" applyFont="1"/>
    <xf numFmtId="0" fontId="9" fillId="3" borderId="0" xfId="0" applyFont="1" applyFill="1"/>
    <xf numFmtId="9" fontId="9" fillId="3" borderId="0" xfId="1" applyFont="1" applyFill="1"/>
    <xf numFmtId="0" fontId="4" fillId="0" borderId="0" xfId="0" applyFont="1" applyAlignment="1">
      <alignment vertical="center"/>
    </xf>
    <xf numFmtId="0" fontId="4" fillId="0" borderId="0" xfId="0" applyFont="1"/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10" fontId="4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10" fontId="4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10" fontId="4" fillId="0" borderId="0" xfId="0" applyNumberFormat="1" applyFont="1"/>
    <xf numFmtId="0" fontId="3" fillId="0" borderId="7" xfId="0" applyFont="1" applyBorder="1"/>
    <xf numFmtId="0" fontId="16" fillId="0" borderId="2" xfId="0" applyFont="1" applyBorder="1"/>
    <xf numFmtId="0" fontId="16" fillId="0" borderId="0" xfId="0" applyFont="1"/>
    <xf numFmtId="0" fontId="10" fillId="0" borderId="7" xfId="0" applyFont="1" applyBorder="1"/>
    <xf numFmtId="0" fontId="2" fillId="0" borderId="0" xfId="0" applyFont="1"/>
    <xf numFmtId="0" fontId="9" fillId="0" borderId="0" xfId="0" applyFont="1"/>
    <xf numFmtId="0" fontId="9" fillId="0" borderId="5" xfId="0" applyFont="1" applyBorder="1"/>
    <xf numFmtId="0" fontId="1" fillId="0" borderId="0" xfId="0" applyFont="1"/>
    <xf numFmtId="9" fontId="1" fillId="0" borderId="0" xfId="1" applyFont="1"/>
    <xf numFmtId="1" fontId="1" fillId="0" borderId="2" xfId="0" applyNumberFormat="1" applyFont="1" applyBorder="1"/>
    <xf numFmtId="0" fontId="9" fillId="0" borderId="0" xfId="0" applyNumberFormat="1" applyFont="1"/>
    <xf numFmtId="0" fontId="1" fillId="0" borderId="0" xfId="0" applyNumberFormat="1" applyFont="1"/>
    <xf numFmtId="1" fontId="1" fillId="0" borderId="0" xfId="0" applyNumberFormat="1" applyFont="1"/>
    <xf numFmtId="0" fontId="1" fillId="0" borderId="2" xfId="0" applyFont="1" applyBorder="1"/>
    <xf numFmtId="165" fontId="9" fillId="0" borderId="0" xfId="1" applyNumberFormat="1" applyFont="1"/>
    <xf numFmtId="165" fontId="9" fillId="0" borderId="0" xfId="1" applyNumberFormat="1" applyFont="1" applyFill="1"/>
    <xf numFmtId="9" fontId="10" fillId="0" borderId="0" xfId="1" applyFont="1"/>
    <xf numFmtId="9" fontId="10" fillId="4" borderId="0" xfId="1" applyFont="1" applyFill="1"/>
    <xf numFmtId="0" fontId="10" fillId="4" borderId="0" xfId="0" applyFont="1" applyFill="1"/>
    <xf numFmtId="9" fontId="9" fillId="5" borderId="0" xfId="1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C10-986F-41A4-B3DD-2A72A923BC11}">
  <dimension ref="A1:D16"/>
  <sheetViews>
    <sheetView workbookViewId="0">
      <selection activeCell="B9" sqref="B9"/>
    </sheetView>
  </sheetViews>
  <sheetFormatPr defaultRowHeight="14.25" x14ac:dyDescent="0.2"/>
  <cols>
    <col min="1" max="1" width="19.85546875" style="1" bestFit="1" customWidth="1"/>
    <col min="2" max="2" width="19.5703125" style="1" bestFit="1" customWidth="1"/>
    <col min="3" max="3" width="11.5703125" style="1" bestFit="1" customWidth="1"/>
    <col min="4" max="4" width="16.140625" style="1" bestFit="1" customWidth="1"/>
    <col min="5" max="5" width="6.7109375" style="1" bestFit="1" customWidth="1"/>
    <col min="6" max="16384" width="9.140625" style="1"/>
  </cols>
  <sheetData>
    <row r="1" spans="1:4" x14ac:dyDescent="0.2">
      <c r="A1" s="1" t="s">
        <v>1</v>
      </c>
      <c r="B1" s="48" t="s">
        <v>90</v>
      </c>
    </row>
    <row r="3" spans="1:4" x14ac:dyDescent="0.2">
      <c r="A3" s="1" t="s">
        <v>6</v>
      </c>
    </row>
    <row r="4" spans="1:4" x14ac:dyDescent="0.2">
      <c r="A4" s="1" t="s">
        <v>0</v>
      </c>
      <c r="B4" s="1">
        <v>22.21</v>
      </c>
      <c r="C4" s="2">
        <v>45922</v>
      </c>
    </row>
    <row r="5" spans="1:4" x14ac:dyDescent="0.2">
      <c r="A5" s="1" t="s">
        <v>2</v>
      </c>
      <c r="B5" s="48">
        <v>374</v>
      </c>
      <c r="C5" s="45" t="s">
        <v>28</v>
      </c>
    </row>
    <row r="6" spans="1:4" x14ac:dyDescent="0.2">
      <c r="A6" s="1" t="s">
        <v>3</v>
      </c>
      <c r="B6" s="1">
        <f xml:space="preserve"> B4 * B5</f>
        <v>8306.5400000000009</v>
      </c>
    </row>
    <row r="7" spans="1:4" x14ac:dyDescent="0.2">
      <c r="A7" s="1" t="s">
        <v>26</v>
      </c>
      <c r="B7" s="1">
        <v>2430</v>
      </c>
    </row>
    <row r="8" spans="1:4" x14ac:dyDescent="0.2">
      <c r="A8" s="1" t="s">
        <v>4</v>
      </c>
      <c r="B8" s="1">
        <v>5590</v>
      </c>
      <c r="D8" s="1" t="s">
        <v>31</v>
      </c>
    </row>
    <row r="9" spans="1:4" x14ac:dyDescent="0.2">
      <c r="A9" s="1" t="s">
        <v>7</v>
      </c>
      <c r="B9" s="1">
        <f>B6 - B7 + B8</f>
        <v>11466.54</v>
      </c>
      <c r="D9" s="1" t="s">
        <v>27</v>
      </c>
    </row>
    <row r="11" spans="1:4" x14ac:dyDescent="0.2">
      <c r="A11" s="1" t="s">
        <v>76</v>
      </c>
      <c r="B11" s="1">
        <v>0.54</v>
      </c>
    </row>
    <row r="12" spans="1:4" x14ac:dyDescent="0.2">
      <c r="A12" s="1" t="s">
        <v>77</v>
      </c>
      <c r="B12" s="1">
        <v>2.41</v>
      </c>
    </row>
    <row r="13" spans="1:4" x14ac:dyDescent="0.2">
      <c r="A13" s="1" t="s">
        <v>78</v>
      </c>
      <c r="B13" s="1">
        <v>0.75</v>
      </c>
    </row>
    <row r="14" spans="1:4" x14ac:dyDescent="0.2">
      <c r="A14" s="1" t="s">
        <v>79</v>
      </c>
      <c r="B14" s="1">
        <v>6.72</v>
      </c>
    </row>
    <row r="15" spans="1:4" x14ac:dyDescent="0.2">
      <c r="A15" s="1" t="s">
        <v>80</v>
      </c>
      <c r="B15" s="1">
        <v>9.59</v>
      </c>
    </row>
    <row r="16" spans="1:4" x14ac:dyDescent="0.2">
      <c r="A16" s="1" t="s">
        <v>81</v>
      </c>
      <c r="B16" s="1">
        <v>10.91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C8F-3B6A-4584-925C-61BD108C4B76}">
  <dimension ref="A1:AL84"/>
  <sheetViews>
    <sheetView tabSelected="1" workbookViewId="0">
      <pane xSplit="2" topLeftCell="C1" activePane="topRight" state="frozen"/>
      <selection pane="topRight" activeCell="AF12" sqref="AF12"/>
    </sheetView>
  </sheetViews>
  <sheetFormatPr defaultRowHeight="14.25" outlineLevelRow="1" outlineLevelCol="1" x14ac:dyDescent="0.2"/>
  <cols>
    <col min="1" max="1" width="9.140625" style="1"/>
    <col min="2" max="2" width="32.42578125" style="1" bestFit="1" customWidth="1"/>
    <col min="3" max="3" width="9.140625" style="1"/>
    <col min="4" max="11" width="0" style="1" hidden="1" customWidth="1" outlineLevel="1"/>
    <col min="12" max="12" width="9.140625" style="1" collapsed="1"/>
    <col min="13" max="22" width="9.140625" style="1"/>
    <col min="23" max="25" width="13.140625" style="1" customWidth="1"/>
    <col min="26" max="26" width="18.85546875" style="1" customWidth="1"/>
    <col min="27" max="27" width="14.85546875" style="1" customWidth="1"/>
    <col min="28" max="28" width="18.5703125" style="1" bestFit="1" customWidth="1"/>
    <col min="29" max="29" width="11.42578125" style="1" customWidth="1"/>
    <col min="30" max="30" width="9.28515625" style="1" bestFit="1" customWidth="1"/>
    <col min="31" max="31" width="9.5703125" style="1" bestFit="1" customWidth="1"/>
    <col min="32" max="16384" width="9.140625" style="1"/>
  </cols>
  <sheetData>
    <row r="1" spans="1:32" x14ac:dyDescent="0.2">
      <c r="A1" s="23" t="s">
        <v>8</v>
      </c>
      <c r="B1" s="1" t="s">
        <v>38</v>
      </c>
    </row>
    <row r="2" spans="1:32" x14ac:dyDescent="0.2">
      <c r="A2" s="24"/>
      <c r="B2" s="24"/>
      <c r="C2" s="24"/>
      <c r="D2" s="24" t="s">
        <v>82</v>
      </c>
      <c r="E2" s="24" t="s">
        <v>83</v>
      </c>
      <c r="F2" s="24" t="s">
        <v>84</v>
      </c>
      <c r="G2" s="24" t="s">
        <v>85</v>
      </c>
      <c r="H2" s="24" t="s">
        <v>56</v>
      </c>
      <c r="I2" s="24" t="s">
        <v>57</v>
      </c>
      <c r="J2" s="24" t="s">
        <v>58</v>
      </c>
      <c r="K2" s="24" t="s">
        <v>59</v>
      </c>
      <c r="L2" s="24" t="s">
        <v>52</v>
      </c>
      <c r="M2" s="24" t="s">
        <v>53</v>
      </c>
      <c r="N2" s="24" t="s">
        <v>54</v>
      </c>
      <c r="O2" s="24" t="s">
        <v>55</v>
      </c>
      <c r="P2" s="24" t="s">
        <v>46</v>
      </c>
      <c r="Q2" s="24" t="s">
        <v>47</v>
      </c>
      <c r="R2" s="24" t="s">
        <v>14</v>
      </c>
      <c r="S2" s="24" t="s">
        <v>15</v>
      </c>
      <c r="T2" s="24" t="s">
        <v>16</v>
      </c>
      <c r="U2" s="24" t="s">
        <v>17</v>
      </c>
      <c r="V2" s="24" t="s">
        <v>18</v>
      </c>
      <c r="W2" s="24" t="s">
        <v>19</v>
      </c>
      <c r="X2" s="24" t="s">
        <v>20</v>
      </c>
      <c r="Y2" s="24" t="s">
        <v>21</v>
      </c>
      <c r="Z2" s="24" t="s">
        <v>22</v>
      </c>
      <c r="AA2" s="24" t="s">
        <v>23</v>
      </c>
      <c r="AB2" s="24" t="s">
        <v>5</v>
      </c>
      <c r="AC2" s="24" t="s">
        <v>28</v>
      </c>
      <c r="AD2" s="24" t="s">
        <v>29</v>
      </c>
      <c r="AE2" s="24" t="s">
        <v>30</v>
      </c>
      <c r="AF2" s="24" t="s">
        <v>32</v>
      </c>
    </row>
    <row r="3" spans="1:32" s="51" customFormat="1" x14ac:dyDescent="0.2">
      <c r="B3" s="52" t="s">
        <v>95</v>
      </c>
      <c r="D3" s="51">
        <v>1799</v>
      </c>
      <c r="E3" s="51">
        <v>1972</v>
      </c>
      <c r="H3" s="51">
        <v>1038</v>
      </c>
      <c r="I3" s="51">
        <v>1881</v>
      </c>
      <c r="L3" s="51">
        <v>2280</v>
      </c>
      <c r="M3" s="51">
        <v>2390</v>
      </c>
      <c r="N3" s="51">
        <v>2105</v>
      </c>
      <c r="O3" s="51">
        <v>2307</v>
      </c>
      <c r="P3" s="51">
        <v>1841</v>
      </c>
      <c r="Q3" s="51">
        <v>2090</v>
      </c>
      <c r="R3" s="51">
        <v>2137</v>
      </c>
      <c r="S3" s="51">
        <v>2166</v>
      </c>
      <c r="T3" s="51">
        <v>1828</v>
      </c>
      <c r="U3" s="51">
        <v>1961</v>
      </c>
      <c r="V3" s="51">
        <v>2126</v>
      </c>
      <c r="W3" s="51">
        <v>2288</v>
      </c>
      <c r="X3" s="51">
        <v>1916</v>
      </c>
      <c r="Y3" s="51">
        <v>2123</v>
      </c>
      <c r="Z3" s="51">
        <v>2150</v>
      </c>
      <c r="AA3" s="51">
        <v>2212</v>
      </c>
      <c r="AB3" s="51">
        <v>1981</v>
      </c>
      <c r="AC3" s="51">
        <v>2150</v>
      </c>
    </row>
    <row r="4" spans="1:32" s="51" customFormat="1" x14ac:dyDescent="0.2">
      <c r="B4" s="52" t="s">
        <v>96</v>
      </c>
      <c r="D4" s="51">
        <v>1052</v>
      </c>
      <c r="E4" s="51">
        <v>1086</v>
      </c>
      <c r="H4" s="51">
        <v>524</v>
      </c>
      <c r="I4" s="51">
        <v>783</v>
      </c>
      <c r="L4" s="51">
        <v>886</v>
      </c>
      <c r="M4" s="51">
        <v>974</v>
      </c>
      <c r="N4" s="51">
        <v>1039</v>
      </c>
      <c r="O4" s="51">
        <v>1164</v>
      </c>
      <c r="P4" s="51">
        <v>791</v>
      </c>
      <c r="Q4" s="51">
        <v>881</v>
      </c>
      <c r="R4" s="51">
        <v>1041</v>
      </c>
      <c r="S4" s="51">
        <v>1061</v>
      </c>
      <c r="T4" s="51">
        <v>692</v>
      </c>
      <c r="U4" s="51">
        <v>755</v>
      </c>
      <c r="V4" s="51">
        <v>887</v>
      </c>
      <c r="W4" s="51">
        <v>1007</v>
      </c>
      <c r="X4" s="51">
        <v>689</v>
      </c>
      <c r="Y4" s="51">
        <v>766</v>
      </c>
      <c r="Z4" s="51">
        <v>899</v>
      </c>
      <c r="AA4" s="51">
        <v>980</v>
      </c>
      <c r="AB4" s="51">
        <v>724</v>
      </c>
      <c r="AC4" s="51">
        <v>772</v>
      </c>
    </row>
    <row r="5" spans="1:32" s="51" customFormat="1" x14ac:dyDescent="0.2">
      <c r="B5" s="52" t="s">
        <v>97</v>
      </c>
      <c r="D5" s="51">
        <v>568</v>
      </c>
      <c r="E5" s="51">
        <v>616</v>
      </c>
      <c r="H5" s="51">
        <v>289</v>
      </c>
      <c r="I5" s="51">
        <v>283</v>
      </c>
      <c r="L5" s="51">
        <v>389</v>
      </c>
      <c r="M5" s="51">
        <v>495</v>
      </c>
      <c r="N5" s="51">
        <v>479</v>
      </c>
      <c r="O5" s="51">
        <v>613</v>
      </c>
      <c r="P5" s="51">
        <v>482</v>
      </c>
      <c r="Q5" s="51">
        <v>539</v>
      </c>
      <c r="R5" s="51">
        <v>517</v>
      </c>
      <c r="S5" s="51">
        <v>578</v>
      </c>
      <c r="T5" s="51">
        <v>432</v>
      </c>
      <c r="U5" s="51">
        <v>480</v>
      </c>
      <c r="V5" s="51">
        <v>460</v>
      </c>
      <c r="W5" s="51">
        <v>567</v>
      </c>
      <c r="X5" s="51">
        <v>440</v>
      </c>
      <c r="Y5" s="51">
        <v>479</v>
      </c>
      <c r="Z5" s="51">
        <v>469</v>
      </c>
      <c r="AA5" s="51">
        <v>545</v>
      </c>
      <c r="AB5" s="51">
        <v>428</v>
      </c>
      <c r="AC5" s="51">
        <v>475</v>
      </c>
    </row>
    <row r="6" spans="1:32" s="51" customFormat="1" x14ac:dyDescent="0.2">
      <c r="B6" s="52" t="s">
        <v>98</v>
      </c>
      <c r="D6" s="51">
        <v>223</v>
      </c>
      <c r="E6" s="51">
        <v>252</v>
      </c>
      <c r="H6" s="51">
        <v>205</v>
      </c>
      <c r="I6" s="51">
        <v>267</v>
      </c>
      <c r="L6" s="51">
        <v>347</v>
      </c>
      <c r="M6" s="51">
        <v>341</v>
      </c>
      <c r="N6" s="51">
        <v>320</v>
      </c>
      <c r="O6" s="51">
        <v>439</v>
      </c>
      <c r="P6" s="51">
        <v>360</v>
      </c>
      <c r="Q6" s="51">
        <v>344</v>
      </c>
      <c r="R6" s="51">
        <v>340</v>
      </c>
      <c r="S6" s="51">
        <v>436</v>
      </c>
      <c r="T6" s="51">
        <v>321</v>
      </c>
      <c r="U6" s="51">
        <v>341</v>
      </c>
      <c r="V6" s="51">
        <v>279</v>
      </c>
      <c r="W6" s="51">
        <v>419</v>
      </c>
      <c r="X6" s="51">
        <v>329</v>
      </c>
      <c r="Y6" s="51">
        <v>338</v>
      </c>
      <c r="Z6" s="51">
        <v>290</v>
      </c>
      <c r="AA6" s="51">
        <v>396</v>
      </c>
      <c r="AB6" s="51">
        <v>308</v>
      </c>
      <c r="AC6" s="51">
        <v>300</v>
      </c>
    </row>
    <row r="7" spans="1:32" s="51" customFormat="1" x14ac:dyDescent="0.2">
      <c r="B7" s="52" t="s">
        <v>106</v>
      </c>
      <c r="D7" s="51">
        <v>64</v>
      </c>
      <c r="E7" s="51">
        <v>79</v>
      </c>
      <c r="H7" s="51">
        <v>51</v>
      </c>
      <c r="I7" s="51">
        <v>61</v>
      </c>
      <c r="L7" s="51">
        <v>89</v>
      </c>
      <c r="M7" s="51">
        <v>11</v>
      </c>
      <c r="N7" s="51">
        <v>0</v>
      </c>
      <c r="P7" s="51">
        <v>3</v>
      </c>
      <c r="Q7" s="51">
        <v>3</v>
      </c>
      <c r="R7" s="51">
        <v>4</v>
      </c>
      <c r="S7" s="51">
        <v>2</v>
      </c>
      <c r="T7" s="51">
        <v>3</v>
      </c>
      <c r="U7" s="51">
        <v>11</v>
      </c>
      <c r="V7" s="51">
        <v>15</v>
      </c>
      <c r="W7" s="51">
        <v>17</v>
      </c>
      <c r="X7" s="51">
        <v>14</v>
      </c>
      <c r="Y7" s="51">
        <v>14</v>
      </c>
      <c r="Z7" s="51">
        <v>21</v>
      </c>
      <c r="AA7" s="51">
        <v>16</v>
      </c>
      <c r="AB7" s="51">
        <v>22</v>
      </c>
      <c r="AC7" s="51">
        <v>28</v>
      </c>
    </row>
    <row r="8" spans="1:32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32" s="5" customFormat="1" ht="15" x14ac:dyDescent="0.25">
      <c r="A9" s="3"/>
      <c r="B9" s="3" t="s">
        <v>9</v>
      </c>
      <c r="C9" s="3"/>
      <c r="D9" s="3">
        <f t="shared" ref="D9:AC9" si="0">SUM(D3:D7)</f>
        <v>3706</v>
      </c>
      <c r="E9" s="3">
        <f t="shared" si="0"/>
        <v>4005</v>
      </c>
      <c r="F9" s="3">
        <f t="shared" si="0"/>
        <v>0</v>
      </c>
      <c r="G9" s="3">
        <f t="shared" si="0"/>
        <v>0</v>
      </c>
      <c r="H9" s="3">
        <f t="shared" si="0"/>
        <v>2107</v>
      </c>
      <c r="I9" s="3">
        <f t="shared" si="0"/>
        <v>3275</v>
      </c>
      <c r="J9" s="3">
        <f t="shared" si="0"/>
        <v>0</v>
      </c>
      <c r="K9" s="3">
        <f t="shared" si="0"/>
        <v>0</v>
      </c>
      <c r="L9" s="3">
        <f t="shared" si="0"/>
        <v>3991</v>
      </c>
      <c r="M9" s="3">
        <f t="shared" si="0"/>
        <v>4211</v>
      </c>
      <c r="N9" s="3">
        <f t="shared" si="0"/>
        <v>3943</v>
      </c>
      <c r="O9" s="3">
        <f t="shared" si="0"/>
        <v>4523</v>
      </c>
      <c r="P9" s="3">
        <f t="shared" si="0"/>
        <v>3477</v>
      </c>
      <c r="Q9" s="3">
        <f t="shared" si="0"/>
        <v>3857</v>
      </c>
      <c r="R9" s="3">
        <f t="shared" si="0"/>
        <v>4039</v>
      </c>
      <c r="S9" s="3">
        <f t="shared" si="0"/>
        <v>4243</v>
      </c>
      <c r="T9" s="3">
        <f t="shared" si="0"/>
        <v>3276</v>
      </c>
      <c r="U9" s="3">
        <f t="shared" si="0"/>
        <v>3548</v>
      </c>
      <c r="V9" s="3">
        <f t="shared" si="0"/>
        <v>3767</v>
      </c>
      <c r="W9" s="3">
        <f t="shared" si="0"/>
        <v>4298</v>
      </c>
      <c r="X9" s="3">
        <f t="shared" si="0"/>
        <v>3388</v>
      </c>
      <c r="Y9" s="3">
        <f t="shared" si="0"/>
        <v>3720</v>
      </c>
      <c r="Z9" s="3">
        <f t="shared" si="0"/>
        <v>3829</v>
      </c>
      <c r="AA9" s="3">
        <f t="shared" si="0"/>
        <v>4149</v>
      </c>
      <c r="AB9" s="3">
        <f t="shared" si="0"/>
        <v>3463</v>
      </c>
      <c r="AC9" s="3">
        <f t="shared" si="0"/>
        <v>3725</v>
      </c>
      <c r="AD9" s="4"/>
      <c r="AE9" s="4"/>
    </row>
    <row r="10" spans="1:32" x14ac:dyDescent="0.2">
      <c r="A10" s="25"/>
      <c r="B10" s="25" t="s">
        <v>33</v>
      </c>
      <c r="C10" s="25"/>
      <c r="D10" s="25">
        <v>2362</v>
      </c>
      <c r="E10" s="25"/>
      <c r="F10" s="25"/>
      <c r="G10" s="25"/>
      <c r="H10" s="25">
        <v>1839</v>
      </c>
      <c r="I10" s="25">
        <v>2126</v>
      </c>
      <c r="J10" s="25"/>
      <c r="K10" s="25"/>
      <c r="L10" s="25">
        <v>2361</v>
      </c>
      <c r="M10" s="25">
        <v>2388</v>
      </c>
      <c r="N10" s="25">
        <v>2282</v>
      </c>
      <c r="O10" s="25">
        <v>3002</v>
      </c>
      <c r="P10" s="25">
        <v>2381</v>
      </c>
      <c r="Q10" s="25">
        <v>2527</v>
      </c>
      <c r="R10" s="26">
        <v>2530</v>
      </c>
      <c r="S10" s="26">
        <v>2819</v>
      </c>
      <c r="T10" s="26">
        <v>2062</v>
      </c>
      <c r="U10" s="26">
        <v>2215</v>
      </c>
      <c r="V10" s="26">
        <v>2211</v>
      </c>
      <c r="W10" s="1">
        <v>2626</v>
      </c>
      <c r="X10" s="26">
        <v>1991</v>
      </c>
      <c r="Y10" s="26">
        <v>2137</v>
      </c>
      <c r="Z10" s="1">
        <v>2194</v>
      </c>
      <c r="AA10" s="1">
        <v>2537</v>
      </c>
      <c r="AB10" s="1">
        <v>2015</v>
      </c>
      <c r="AC10" s="1">
        <v>2189</v>
      </c>
    </row>
    <row r="11" spans="1:32" s="5" customFormat="1" ht="15" x14ac:dyDescent="0.25">
      <c r="A11" s="3"/>
      <c r="B11" s="3" t="s">
        <v>10</v>
      </c>
      <c r="C11" s="4"/>
      <c r="D11" s="4">
        <f t="shared" ref="D11:G11" si="1">D9 -D10</f>
        <v>1344</v>
      </c>
      <c r="E11" s="4">
        <f t="shared" si="1"/>
        <v>4005</v>
      </c>
      <c r="F11" s="4">
        <f t="shared" si="1"/>
        <v>0</v>
      </c>
      <c r="G11" s="4">
        <f t="shared" si="1"/>
        <v>0</v>
      </c>
      <c r="H11" s="4">
        <f t="shared" ref="H11:J11" si="2">H9 -H10</f>
        <v>268</v>
      </c>
      <c r="I11" s="4">
        <f t="shared" si="2"/>
        <v>1149</v>
      </c>
      <c r="J11" s="4">
        <f t="shared" si="2"/>
        <v>0</v>
      </c>
      <c r="K11" s="4">
        <f t="shared" ref="K11:AC11" si="3">K9 -K10</f>
        <v>0</v>
      </c>
      <c r="L11" s="4">
        <f t="shared" si="3"/>
        <v>1630</v>
      </c>
      <c r="M11" s="4">
        <f t="shared" si="3"/>
        <v>1823</v>
      </c>
      <c r="N11" s="4">
        <f t="shared" si="3"/>
        <v>1661</v>
      </c>
      <c r="O11" s="4">
        <f t="shared" si="3"/>
        <v>1521</v>
      </c>
      <c r="P11" s="4">
        <f>P9 -P10</f>
        <v>1096</v>
      </c>
      <c r="Q11" s="4">
        <f>Q9 -Q10</f>
        <v>1330</v>
      </c>
      <c r="R11" s="4">
        <f t="shared" si="3"/>
        <v>1509</v>
      </c>
      <c r="S11" s="4">
        <f t="shared" si="3"/>
        <v>1424</v>
      </c>
      <c r="T11" s="4">
        <f t="shared" si="3"/>
        <v>1214</v>
      </c>
      <c r="U11" s="4">
        <f t="shared" si="3"/>
        <v>1333</v>
      </c>
      <c r="V11" s="4">
        <f t="shared" si="3"/>
        <v>1556</v>
      </c>
      <c r="W11" s="4">
        <f t="shared" si="3"/>
        <v>1672</v>
      </c>
      <c r="X11" s="4">
        <f t="shared" si="3"/>
        <v>1397</v>
      </c>
      <c r="Y11" s="4">
        <f t="shared" si="3"/>
        <v>1583</v>
      </c>
      <c r="Z11" s="4">
        <f t="shared" si="3"/>
        <v>1635</v>
      </c>
      <c r="AA11" s="4">
        <f t="shared" si="3"/>
        <v>1612</v>
      </c>
      <c r="AB11" s="4">
        <f t="shared" si="3"/>
        <v>1448</v>
      </c>
      <c r="AC11" s="4">
        <f t="shared" si="3"/>
        <v>1536</v>
      </c>
    </row>
    <row r="12" spans="1:32" x14ac:dyDescent="0.2">
      <c r="A12" s="25"/>
      <c r="B12" s="25" t="s">
        <v>60</v>
      </c>
      <c r="C12" s="16"/>
      <c r="D12" s="16">
        <v>1028</v>
      </c>
      <c r="E12" s="16"/>
      <c r="F12" s="16"/>
      <c r="G12" s="16"/>
      <c r="H12" s="16">
        <v>1512</v>
      </c>
      <c r="I12" s="16">
        <v>1076</v>
      </c>
      <c r="J12" s="16"/>
      <c r="K12" s="16"/>
      <c r="L12" s="16">
        <v>1390</v>
      </c>
      <c r="M12" s="16">
        <v>1414</v>
      </c>
      <c r="N12" s="16">
        <v>1508</v>
      </c>
      <c r="O12" s="16">
        <v>1515</v>
      </c>
      <c r="P12" s="16">
        <v>1293</v>
      </c>
      <c r="Q12" s="16">
        <v>1358</v>
      </c>
      <c r="R12" s="16">
        <v>1323</v>
      </c>
      <c r="S12" s="16">
        <v>1454</v>
      </c>
      <c r="T12" s="16">
        <v>1224</v>
      </c>
      <c r="U12" s="16">
        <v>1227</v>
      </c>
      <c r="V12" s="16">
        <v>1306</v>
      </c>
      <c r="W12" s="16">
        <v>1458</v>
      </c>
      <c r="X12" s="16">
        <v>1192</v>
      </c>
      <c r="Y12" s="16">
        <v>1290</v>
      </c>
      <c r="Z12" s="16">
        <v>1280</v>
      </c>
      <c r="AA12" s="16">
        <v>1353</v>
      </c>
      <c r="AB12" s="16">
        <v>1188</v>
      </c>
      <c r="AC12" s="16">
        <v>1244</v>
      </c>
    </row>
    <row r="13" spans="1:32" s="5" customFormat="1" ht="15" x14ac:dyDescent="0.25">
      <c r="A13" s="3"/>
      <c r="B13" s="3" t="s">
        <v>11</v>
      </c>
      <c r="D13" s="4">
        <f t="shared" ref="D13:G13" si="4">D11-SUM(D12:D12)</f>
        <v>316</v>
      </c>
      <c r="E13" s="4">
        <f t="shared" si="4"/>
        <v>4005</v>
      </c>
      <c r="F13" s="4">
        <f t="shared" si="4"/>
        <v>0</v>
      </c>
      <c r="G13" s="4">
        <f t="shared" si="4"/>
        <v>0</v>
      </c>
      <c r="H13" s="4">
        <f t="shared" ref="H13:AC13" si="5">H11-SUM(H12:H12)</f>
        <v>-1244</v>
      </c>
      <c r="I13" s="4">
        <f t="shared" si="5"/>
        <v>73</v>
      </c>
      <c r="J13" s="4">
        <f t="shared" si="5"/>
        <v>0</v>
      </c>
      <c r="K13" s="4">
        <f t="shared" si="5"/>
        <v>0</v>
      </c>
      <c r="L13" s="4">
        <f t="shared" si="5"/>
        <v>240</v>
      </c>
      <c r="M13" s="4">
        <f t="shared" si="5"/>
        <v>409</v>
      </c>
      <c r="N13" s="4">
        <f t="shared" si="5"/>
        <v>153</v>
      </c>
      <c r="O13" s="4">
        <f t="shared" si="5"/>
        <v>6</v>
      </c>
      <c r="P13" s="4">
        <f t="shared" si="5"/>
        <v>-197</v>
      </c>
      <c r="Q13" s="4">
        <f t="shared" si="5"/>
        <v>-28</v>
      </c>
      <c r="R13" s="4">
        <f t="shared" si="5"/>
        <v>186</v>
      </c>
      <c r="S13" s="4">
        <f t="shared" si="5"/>
        <v>-30</v>
      </c>
      <c r="T13" s="4">
        <f t="shared" si="5"/>
        <v>-10</v>
      </c>
      <c r="U13" s="4">
        <f t="shared" si="5"/>
        <v>106</v>
      </c>
      <c r="V13" s="4">
        <f t="shared" si="5"/>
        <v>250</v>
      </c>
      <c r="W13" s="4">
        <f t="shared" si="5"/>
        <v>214</v>
      </c>
      <c r="X13" s="4">
        <f t="shared" si="5"/>
        <v>205</v>
      </c>
      <c r="Y13" s="4">
        <f t="shared" si="5"/>
        <v>293</v>
      </c>
      <c r="Z13" s="4">
        <f t="shared" si="5"/>
        <v>355</v>
      </c>
      <c r="AA13" s="4">
        <f t="shared" si="5"/>
        <v>259</v>
      </c>
      <c r="AB13" s="4">
        <f t="shared" si="5"/>
        <v>260</v>
      </c>
      <c r="AC13" s="4">
        <f t="shared" si="5"/>
        <v>292</v>
      </c>
    </row>
    <row r="14" spans="1:32" x14ac:dyDescent="0.2">
      <c r="B14" s="1" t="s">
        <v>42</v>
      </c>
      <c r="D14" s="1">
        <v>302</v>
      </c>
      <c r="H14" s="1">
        <v>-1259</v>
      </c>
      <c r="I14" s="1">
        <v>-41</v>
      </c>
      <c r="L14" s="1">
        <v>187</v>
      </c>
      <c r="M14" s="1">
        <v>359</v>
      </c>
      <c r="N14" s="1">
        <v>-215</v>
      </c>
      <c r="O14" s="1">
        <v>-8</v>
      </c>
      <c r="P14" s="1">
        <v>-216</v>
      </c>
      <c r="Q14" s="1">
        <v>-48</v>
      </c>
      <c r="R14" s="26">
        <v>168</v>
      </c>
      <c r="S14" s="26">
        <v>-43</v>
      </c>
      <c r="T14" s="26">
        <v>-20</v>
      </c>
      <c r="U14" s="26">
        <v>108</v>
      </c>
      <c r="V14" s="26">
        <v>250</v>
      </c>
      <c r="W14" s="1">
        <v>218</v>
      </c>
      <c r="X14" s="26">
        <v>208</v>
      </c>
      <c r="Y14" s="26">
        <v>296</v>
      </c>
      <c r="Z14" s="26">
        <v>361</v>
      </c>
      <c r="AA14" s="1">
        <v>272</v>
      </c>
      <c r="AB14" s="1">
        <v>263</v>
      </c>
      <c r="AC14" s="1">
        <v>296</v>
      </c>
    </row>
    <row r="15" spans="1:32" x14ac:dyDescent="0.2">
      <c r="B15" s="1" t="s">
        <v>43</v>
      </c>
      <c r="D15" s="1">
        <v>75</v>
      </c>
      <c r="H15" s="1">
        <v>-327</v>
      </c>
      <c r="I15" s="1">
        <v>21</v>
      </c>
      <c r="L15" s="1">
        <v>21</v>
      </c>
      <c r="M15" s="1">
        <v>101</v>
      </c>
      <c r="N15" s="1">
        <v>-63</v>
      </c>
      <c r="O15" s="1">
        <v>8</v>
      </c>
      <c r="P15" s="1">
        <v>-54</v>
      </c>
      <c r="Q15" s="1">
        <v>1</v>
      </c>
      <c r="R15" s="26">
        <v>114</v>
      </c>
      <c r="S15" s="26">
        <v>230</v>
      </c>
      <c r="T15" s="26">
        <v>-2</v>
      </c>
      <c r="U15" s="26">
        <v>-9</v>
      </c>
      <c r="V15" s="26">
        <v>32</v>
      </c>
      <c r="W15" s="1">
        <v>33</v>
      </c>
      <c r="X15" s="26">
        <v>50</v>
      </c>
      <c r="Y15" s="1">
        <v>90</v>
      </c>
      <c r="Z15" s="26">
        <v>87</v>
      </c>
      <c r="AA15" s="1">
        <v>66</v>
      </c>
      <c r="AB15" s="1">
        <v>70</v>
      </c>
      <c r="AC15" s="1">
        <v>80</v>
      </c>
    </row>
    <row r="16" spans="1:32" s="5" customFormat="1" ht="15" x14ac:dyDescent="0.25">
      <c r="B16" s="5" t="s">
        <v>12</v>
      </c>
      <c r="D16" s="5">
        <f t="shared" ref="D16:G16" si="6">D14-D15</f>
        <v>227</v>
      </c>
      <c r="E16" s="5">
        <f t="shared" si="6"/>
        <v>0</v>
      </c>
      <c r="F16" s="5">
        <f t="shared" si="6"/>
        <v>0</v>
      </c>
      <c r="G16" s="5">
        <f t="shared" si="6"/>
        <v>0</v>
      </c>
      <c r="H16" s="5">
        <f t="shared" ref="H16:AA16" si="7">H14-H15</f>
        <v>-932</v>
      </c>
      <c r="I16" s="5">
        <f t="shared" si="7"/>
        <v>-62</v>
      </c>
      <c r="J16" s="5">
        <f t="shared" si="7"/>
        <v>0</v>
      </c>
      <c r="K16" s="5">
        <f t="shared" si="7"/>
        <v>0</v>
      </c>
      <c r="L16" s="5">
        <f t="shared" si="7"/>
        <v>166</v>
      </c>
      <c r="M16" s="5">
        <f t="shared" si="7"/>
        <v>258</v>
      </c>
      <c r="N16" s="5">
        <f t="shared" si="7"/>
        <v>-152</v>
      </c>
      <c r="O16" s="5">
        <f t="shared" si="7"/>
        <v>-16</v>
      </c>
      <c r="P16" s="5">
        <f t="shared" si="7"/>
        <v>-162</v>
      </c>
      <c r="Q16" s="5">
        <f t="shared" si="7"/>
        <v>-49</v>
      </c>
      <c r="R16" s="5">
        <f t="shared" si="7"/>
        <v>54</v>
      </c>
      <c r="S16" s="5">
        <f t="shared" si="7"/>
        <v>-273</v>
      </c>
      <c r="T16" s="5">
        <f t="shared" si="7"/>
        <v>-18</v>
      </c>
      <c r="U16" s="5">
        <f t="shared" si="7"/>
        <v>117</v>
      </c>
      <c r="V16" s="5">
        <f t="shared" si="7"/>
        <v>218</v>
      </c>
      <c r="W16" s="5">
        <f t="shared" si="7"/>
        <v>185</v>
      </c>
      <c r="X16" s="5">
        <f t="shared" si="7"/>
        <v>158</v>
      </c>
      <c r="Y16" s="5">
        <f t="shared" si="7"/>
        <v>206</v>
      </c>
      <c r="Z16" s="5">
        <f t="shared" si="7"/>
        <v>274</v>
      </c>
      <c r="AA16" s="5">
        <f t="shared" si="7"/>
        <v>206</v>
      </c>
      <c r="AB16" s="5">
        <f>AB14-AB15</f>
        <v>193</v>
      </c>
      <c r="AC16" s="5">
        <f>AC14-AC15</f>
        <v>216</v>
      </c>
    </row>
    <row r="17" spans="1:29" x14ac:dyDescent="0.2">
      <c r="B17" s="1" t="s">
        <v>35</v>
      </c>
      <c r="C17" s="27"/>
      <c r="D17" s="27">
        <v>0.6</v>
      </c>
      <c r="E17" s="27"/>
      <c r="F17" s="27"/>
      <c r="G17" s="27"/>
      <c r="H17" s="27">
        <v>-2.5099999999999998</v>
      </c>
      <c r="I17" s="27">
        <v>-0.17</v>
      </c>
      <c r="J17" s="27"/>
      <c r="K17" s="27"/>
      <c r="L17" s="27">
        <v>0.44</v>
      </c>
      <c r="M17" s="27">
        <v>0.68</v>
      </c>
      <c r="N17" s="27">
        <v>-0.4</v>
      </c>
      <c r="O17" s="27">
        <v>-0.04</v>
      </c>
      <c r="P17" s="27">
        <v>-0.44</v>
      </c>
      <c r="Q17" s="27">
        <v>-0.13</v>
      </c>
      <c r="R17" s="27">
        <v>0.77</v>
      </c>
      <c r="S17" s="27">
        <v>-0.75</v>
      </c>
      <c r="T17" s="27">
        <v>-0.05</v>
      </c>
      <c r="U17" s="27">
        <v>0.32</v>
      </c>
      <c r="V17" s="27">
        <v>0.59</v>
      </c>
      <c r="W17" s="1">
        <v>0.5</v>
      </c>
      <c r="X17" s="27">
        <v>0.42</v>
      </c>
      <c r="Y17" s="27">
        <v>0.55000000000000004</v>
      </c>
      <c r="Z17" s="27">
        <v>0.73</v>
      </c>
      <c r="AA17" s="27">
        <v>0.55000000000000004</v>
      </c>
      <c r="AB17" s="1">
        <v>0.51</v>
      </c>
      <c r="AC17" s="27">
        <v>0.57999999999999996</v>
      </c>
    </row>
    <row r="18" spans="1:29" x14ac:dyDescent="0.2">
      <c r="B18" s="1" t="s">
        <v>34</v>
      </c>
      <c r="D18" s="1">
        <v>0.6</v>
      </c>
      <c r="H18" s="1">
        <v>-2.5099999999999998</v>
      </c>
      <c r="I18" s="1">
        <v>-0.17</v>
      </c>
      <c r="L18" s="1">
        <v>0.43</v>
      </c>
      <c r="M18" s="1">
        <v>0.67</v>
      </c>
      <c r="N18" s="1">
        <v>-0.4</v>
      </c>
      <c r="O18" s="1">
        <v>-0.04</v>
      </c>
      <c r="P18" s="1">
        <v>-0.44</v>
      </c>
      <c r="Q18" s="1">
        <v>-0.13</v>
      </c>
      <c r="R18" s="1">
        <v>0.77</v>
      </c>
      <c r="S18" s="1">
        <v>-0.75</v>
      </c>
      <c r="T18" s="1">
        <v>-0.05</v>
      </c>
      <c r="U18" s="26">
        <v>0.32</v>
      </c>
      <c r="V18" s="26">
        <v>0.57999999999999996</v>
      </c>
      <c r="W18" s="1">
        <v>0.49</v>
      </c>
      <c r="X18" s="26">
        <v>0.41</v>
      </c>
      <c r="Y18" s="26">
        <v>0.54</v>
      </c>
      <c r="Z18" s="26">
        <v>0.72</v>
      </c>
      <c r="AA18" s="1">
        <v>0.54</v>
      </c>
      <c r="AB18" s="1">
        <v>0.51</v>
      </c>
      <c r="AC18" s="1">
        <v>0.56999999999999995</v>
      </c>
    </row>
    <row r="20" spans="1:29" s="30" customFormat="1" x14ac:dyDescent="0.2">
      <c r="B20" s="30" t="s">
        <v>40</v>
      </c>
      <c r="D20" s="31" t="e">
        <f>(D9/#REF!) - 1</f>
        <v>#REF!</v>
      </c>
      <c r="E20" s="31" t="e">
        <f>(E9/#REF!) - 1</f>
        <v>#REF!</v>
      </c>
      <c r="F20" s="31" t="e">
        <f>(F9/#REF!) - 1</f>
        <v>#REF!</v>
      </c>
      <c r="G20" s="31" t="e">
        <f>(G9/#REF!) - 1</f>
        <v>#REF!</v>
      </c>
      <c r="H20" s="31">
        <f t="shared" ref="H20:K20" si="8">(H9/D9) - 1</f>
        <v>-0.4314624932541824</v>
      </c>
      <c r="I20" s="31">
        <f t="shared" si="8"/>
        <v>-0.18227215980024969</v>
      </c>
      <c r="J20" s="31" t="e">
        <f t="shared" si="8"/>
        <v>#DIV/0!</v>
      </c>
      <c r="K20" s="31" t="e">
        <f t="shared" si="8"/>
        <v>#DIV/0!</v>
      </c>
      <c r="L20" s="60">
        <f t="shared" ref="L20:AC20" si="9">(L9/H9) - 1</f>
        <v>0.89416231608922647</v>
      </c>
      <c r="M20" s="60">
        <f t="shared" si="9"/>
        <v>0.28580152671755732</v>
      </c>
      <c r="N20" s="60" t="e">
        <f t="shared" si="9"/>
        <v>#DIV/0!</v>
      </c>
      <c r="O20" s="60" t="e">
        <f t="shared" si="9"/>
        <v>#DIV/0!</v>
      </c>
      <c r="P20" s="31">
        <f t="shared" si="9"/>
        <v>-0.12878977699824601</v>
      </c>
      <c r="Q20" s="31">
        <f t="shared" si="9"/>
        <v>-8.4065542626454492E-2</v>
      </c>
      <c r="R20" s="31">
        <f t="shared" si="9"/>
        <v>2.434694395130621E-2</v>
      </c>
      <c r="S20" s="31">
        <f t="shared" si="9"/>
        <v>-6.1905814724740216E-2</v>
      </c>
      <c r="T20" s="31">
        <f t="shared" si="9"/>
        <v>-5.7808455565142358E-2</v>
      </c>
      <c r="U20" s="31">
        <f t="shared" si="9"/>
        <v>-8.0114078299196256E-2</v>
      </c>
      <c r="V20" s="31">
        <f t="shared" si="9"/>
        <v>-6.7343401832136718E-2</v>
      </c>
      <c r="W20" s="31">
        <f t="shared" si="9"/>
        <v>1.2962526514258776E-2</v>
      </c>
      <c r="X20" s="31">
        <f t="shared" si="9"/>
        <v>3.4188034188034289E-2</v>
      </c>
      <c r="Y20" s="31">
        <f t="shared" si="9"/>
        <v>4.8478015783540052E-2</v>
      </c>
      <c r="Z20" s="31">
        <f t="shared" si="9"/>
        <v>1.6458720467215304E-2</v>
      </c>
      <c r="AA20" s="31">
        <f t="shared" si="9"/>
        <v>-3.4667287110283884E-2</v>
      </c>
      <c r="AB20" s="31">
        <f t="shared" si="9"/>
        <v>2.2136953955135708E-2</v>
      </c>
      <c r="AC20" s="31">
        <f t="shared" si="9"/>
        <v>1.3440860215054862E-3</v>
      </c>
    </row>
    <row r="21" spans="1:29" x14ac:dyDescent="0.2">
      <c r="B21" s="1" t="s">
        <v>41</v>
      </c>
      <c r="D21" s="6" t="e">
        <f xml:space="preserve"> (D9/#REF!) - 1</f>
        <v>#REF!</v>
      </c>
      <c r="E21" s="6">
        <f t="shared" ref="E21:H21" si="10" xml:space="preserve"> (E9/D9) - 1</f>
        <v>8.0679978413383813E-2</v>
      </c>
      <c r="F21" s="6">
        <f t="shared" si="10"/>
        <v>-1</v>
      </c>
      <c r="G21" s="6" t="e">
        <f t="shared" si="10"/>
        <v>#DIV/0!</v>
      </c>
      <c r="H21" s="6" t="e">
        <f t="shared" si="10"/>
        <v>#DIV/0!</v>
      </c>
      <c r="I21" s="6">
        <f t="shared" ref="I21:AC21" si="11" xml:space="preserve"> (I9/H9) - 1</f>
        <v>0.55434266729947801</v>
      </c>
      <c r="J21" s="6">
        <f t="shared" si="11"/>
        <v>-1</v>
      </c>
      <c r="K21" s="6" t="e">
        <f t="shared" si="11"/>
        <v>#DIV/0!</v>
      </c>
      <c r="L21" s="60" t="e">
        <f t="shared" si="11"/>
        <v>#DIV/0!</v>
      </c>
      <c r="M21" s="60">
        <f t="shared" si="11"/>
        <v>5.5124029065397151E-2</v>
      </c>
      <c r="N21" s="60">
        <f t="shared" si="11"/>
        <v>-6.3642840180479721E-2</v>
      </c>
      <c r="O21" s="60">
        <f t="shared" si="11"/>
        <v>0.14709611970580783</v>
      </c>
      <c r="P21" s="6">
        <f t="shared" si="11"/>
        <v>-0.23126243643599376</v>
      </c>
      <c r="Q21" s="6">
        <f t="shared" si="11"/>
        <v>0.1092896174863387</v>
      </c>
      <c r="R21" s="6">
        <f t="shared" si="11"/>
        <v>4.7186932849364815E-2</v>
      </c>
      <c r="S21" s="6">
        <f t="shared" si="11"/>
        <v>5.0507551374102455E-2</v>
      </c>
      <c r="T21" s="6">
        <f t="shared" si="11"/>
        <v>-0.22790478435069528</v>
      </c>
      <c r="U21" s="6">
        <f t="shared" si="11"/>
        <v>8.3028083028082955E-2</v>
      </c>
      <c r="V21" s="6">
        <f t="shared" si="11"/>
        <v>6.1724915445321216E-2</v>
      </c>
      <c r="W21" s="6">
        <f t="shared" si="11"/>
        <v>0.14096097690469866</v>
      </c>
      <c r="X21" s="6">
        <f t="shared" si="11"/>
        <v>-0.21172638436482083</v>
      </c>
      <c r="Y21" s="6">
        <f t="shared" si="11"/>
        <v>9.7992916174734379E-2</v>
      </c>
      <c r="Z21" s="6">
        <f t="shared" si="11"/>
        <v>2.93010752688172E-2</v>
      </c>
      <c r="AA21" s="6">
        <f t="shared" si="11"/>
        <v>8.3572734395403581E-2</v>
      </c>
      <c r="AB21" s="6">
        <f t="shared" si="11"/>
        <v>-0.16534104603518918</v>
      </c>
      <c r="AC21" s="6">
        <f t="shared" si="11"/>
        <v>7.5656944845509777E-2</v>
      </c>
    </row>
    <row r="22" spans="1:29" x14ac:dyDescent="0.2">
      <c r="R22" s="6"/>
      <c r="S22" s="7"/>
      <c r="T22" s="7"/>
      <c r="U22" s="7"/>
      <c r="V22" s="7"/>
      <c r="W22" s="7"/>
      <c r="X22" s="7"/>
      <c r="Y22" s="7"/>
      <c r="Z22" s="7"/>
      <c r="AA22" s="7"/>
      <c r="AB22" s="6"/>
    </row>
    <row r="23" spans="1:29" s="55" customFormat="1" x14ac:dyDescent="0.2">
      <c r="B23" s="55" t="s">
        <v>44</v>
      </c>
      <c r="G23" s="56" t="e">
        <f t="shared" ref="G23:M23" si="12">G11/G9</f>
        <v>#DIV/0!</v>
      </c>
      <c r="H23" s="56">
        <f t="shared" si="12"/>
        <v>0.12719506407214048</v>
      </c>
      <c r="I23" s="56">
        <f t="shared" si="12"/>
        <v>0.35083969465648857</v>
      </c>
      <c r="J23" s="56" t="e">
        <f t="shared" si="12"/>
        <v>#DIV/0!</v>
      </c>
      <c r="K23" s="56" t="e">
        <f t="shared" si="12"/>
        <v>#DIV/0!</v>
      </c>
      <c r="L23" s="56">
        <f t="shared" si="12"/>
        <v>0.40841894262089701</v>
      </c>
      <c r="M23" s="56">
        <f t="shared" si="12"/>
        <v>0.43291379719781525</v>
      </c>
      <c r="N23" s="56">
        <f t="shared" ref="N23:P23" si="13">N11/N9</f>
        <v>0.42125285315749428</v>
      </c>
      <c r="O23" s="56">
        <f t="shared" si="13"/>
        <v>0.33628122927260667</v>
      </c>
      <c r="P23" s="56">
        <f t="shared" si="13"/>
        <v>0.31521426517112455</v>
      </c>
      <c r="Q23" s="56">
        <f t="shared" ref="Q23:U23" si="14">Q11/Q9</f>
        <v>0.34482758620689657</v>
      </c>
      <c r="R23" s="56">
        <f t="shared" si="14"/>
        <v>0.37360732854666995</v>
      </c>
      <c r="S23" s="56">
        <f t="shared" si="14"/>
        <v>0.33561159556917275</v>
      </c>
      <c r="T23" s="56">
        <f t="shared" si="14"/>
        <v>0.37057387057387059</v>
      </c>
      <c r="U23" s="56">
        <f t="shared" si="14"/>
        <v>0.37570462232243518</v>
      </c>
      <c r="V23" s="56">
        <f t="shared" ref="V23:Y23" si="15">V11/V9</f>
        <v>0.41306079108043536</v>
      </c>
      <c r="W23" s="56">
        <f t="shared" si="15"/>
        <v>0.3890181479758027</v>
      </c>
      <c r="X23" s="56">
        <f t="shared" si="15"/>
        <v>0.41233766233766234</v>
      </c>
      <c r="Y23" s="56">
        <f t="shared" si="15"/>
        <v>0.42553763440860215</v>
      </c>
      <c r="Z23" s="56">
        <f>Z11/Z9</f>
        <v>0.42700443980151476</v>
      </c>
      <c r="AA23" s="56">
        <v>0.38900000000000001</v>
      </c>
      <c r="AB23" s="55">
        <v>0.41799999999999998</v>
      </c>
      <c r="AC23" s="55">
        <v>0.41199999999999998</v>
      </c>
    </row>
    <row r="24" spans="1:29" s="55" customFormat="1" x14ac:dyDescent="0.2">
      <c r="B24" s="55" t="s">
        <v>45</v>
      </c>
      <c r="G24" s="55" t="e">
        <f t="shared" ref="G24:M24" si="16">G13/G9</f>
        <v>#DIV/0!</v>
      </c>
      <c r="H24" s="55">
        <f t="shared" si="16"/>
        <v>-0.59041290934978641</v>
      </c>
      <c r="I24" s="55">
        <f t="shared" si="16"/>
        <v>2.2290076335877863E-2</v>
      </c>
      <c r="J24" s="55" t="e">
        <f t="shared" si="16"/>
        <v>#DIV/0!</v>
      </c>
      <c r="K24" s="55" t="e">
        <f t="shared" si="16"/>
        <v>#DIV/0!</v>
      </c>
      <c r="L24" s="55">
        <f t="shared" si="16"/>
        <v>6.0135304434978699E-2</v>
      </c>
      <c r="M24" s="55">
        <f t="shared" si="16"/>
        <v>9.7126573260508192E-2</v>
      </c>
      <c r="N24" s="55">
        <f t="shared" ref="N24:P24" si="17">N13/N9</f>
        <v>3.8802941922394113E-2</v>
      </c>
      <c r="O24" s="55">
        <f t="shared" si="17"/>
        <v>1.3265531726730046E-3</v>
      </c>
      <c r="P24" s="55">
        <f t="shared" si="17"/>
        <v>-5.6658038538970376E-2</v>
      </c>
      <c r="Q24" s="55">
        <f t="shared" ref="Q24:U24" si="18">Q13/Q9</f>
        <v>-7.2595281306715061E-3</v>
      </c>
      <c r="R24" s="55">
        <f t="shared" si="18"/>
        <v>4.6051002723446401E-2</v>
      </c>
      <c r="S24" s="55">
        <f t="shared" si="18"/>
        <v>-7.0704690077775158E-3</v>
      </c>
      <c r="T24" s="55">
        <f t="shared" si="18"/>
        <v>-3.0525030525030525E-3</v>
      </c>
      <c r="U24" s="55">
        <f t="shared" si="18"/>
        <v>2.987598647125141E-2</v>
      </c>
      <c r="V24" s="55">
        <f t="shared" ref="V24:X24" si="19">V13/V9</f>
        <v>6.636580833554552E-2</v>
      </c>
      <c r="W24" s="55">
        <f t="shared" si="19"/>
        <v>4.9790600279199626E-2</v>
      </c>
      <c r="X24" s="55">
        <f t="shared" si="19"/>
        <v>6.0507674144037779E-2</v>
      </c>
      <c r="Y24" s="55">
        <f>Y13/Y9</f>
        <v>7.8763440860215056E-2</v>
      </c>
      <c r="Z24" s="55">
        <f>Z13/Z9</f>
        <v>9.2713502219900754E-2</v>
      </c>
      <c r="AA24" s="55">
        <v>6.2E-2</v>
      </c>
      <c r="AB24" s="55">
        <v>7.4999999999999997E-2</v>
      </c>
      <c r="AC24" s="55">
        <v>7.8E-2</v>
      </c>
    </row>
    <row r="25" spans="1:29" x14ac:dyDescent="0.2">
      <c r="N25" s="6"/>
    </row>
    <row r="26" spans="1:29" s="8" customFormat="1" ht="15" x14ac:dyDescent="0.25">
      <c r="B26" s="28" t="s">
        <v>25</v>
      </c>
      <c r="C26" s="28"/>
      <c r="D26" s="28"/>
      <c r="E26" s="28"/>
      <c r="F26" s="28"/>
      <c r="G26" s="28"/>
      <c r="H26" s="28">
        <v>-940</v>
      </c>
      <c r="I26" s="28">
        <v>-87</v>
      </c>
      <c r="J26" s="28"/>
      <c r="K26" s="28"/>
      <c r="L26" s="28">
        <v>340</v>
      </c>
      <c r="M26" s="28">
        <v>792</v>
      </c>
      <c r="N26" s="28">
        <v>682</v>
      </c>
      <c r="O26" s="28">
        <v>809</v>
      </c>
      <c r="P26" s="28">
        <v>-362</v>
      </c>
      <c r="Q26" s="28">
        <v>-207</v>
      </c>
      <c r="R26" s="29">
        <v>-112</v>
      </c>
      <c r="S26" s="29">
        <v>607</v>
      </c>
      <c r="T26" s="29">
        <v>15</v>
      </c>
      <c r="U26" s="29">
        <v>528</v>
      </c>
      <c r="V26" s="29">
        <v>832</v>
      </c>
      <c r="W26" s="29">
        <v>1532</v>
      </c>
      <c r="X26" s="29">
        <v>30</v>
      </c>
      <c r="Y26" s="8">
        <v>579</v>
      </c>
      <c r="Z26" s="8">
        <v>870</v>
      </c>
      <c r="AA26" s="8">
        <v>1486</v>
      </c>
      <c r="AB26" s="8">
        <v>-140</v>
      </c>
      <c r="AC26" s="8">
        <v>308</v>
      </c>
    </row>
    <row r="27" spans="1:29" outlineLevel="1" x14ac:dyDescent="0.2">
      <c r="B27" s="25" t="s">
        <v>24</v>
      </c>
      <c r="C27" s="25"/>
      <c r="D27" s="25"/>
      <c r="E27" s="25"/>
      <c r="F27" s="25"/>
      <c r="G27" s="25"/>
      <c r="H27" s="25">
        <v>122</v>
      </c>
      <c r="I27" s="25">
        <v>208</v>
      </c>
      <c r="J27" s="25"/>
      <c r="K27" s="25"/>
      <c r="L27" s="25">
        <v>124</v>
      </c>
      <c r="M27" s="25">
        <v>269</v>
      </c>
      <c r="N27" s="25">
        <v>486</v>
      </c>
      <c r="O27" s="25">
        <v>694</v>
      </c>
      <c r="P27" s="25">
        <v>228</v>
      </c>
      <c r="Q27" s="25">
        <v>406</v>
      </c>
      <c r="R27" s="26">
        <v>577</v>
      </c>
      <c r="S27" s="26">
        <v>685</v>
      </c>
      <c r="T27" s="26">
        <v>117</v>
      </c>
      <c r="U27" s="26">
        <v>199</v>
      </c>
      <c r="V27" s="26">
        <v>288</v>
      </c>
      <c r="W27" s="26">
        <v>420</v>
      </c>
      <c r="X27" s="26">
        <v>-93</v>
      </c>
      <c r="Y27" s="26">
        <v>182</v>
      </c>
      <c r="Z27" s="1">
        <v>330</v>
      </c>
      <c r="AA27" s="9">
        <v>447</v>
      </c>
      <c r="AB27" s="1">
        <v>83</v>
      </c>
      <c r="AC27" s="1">
        <v>181</v>
      </c>
    </row>
    <row r="28" spans="1:29" s="8" customFormat="1" ht="15" x14ac:dyDescent="0.25">
      <c r="B28" s="28" t="s">
        <v>13</v>
      </c>
      <c r="D28" s="8">
        <f t="shared" ref="D28:G28" si="20">D26-D27</f>
        <v>0</v>
      </c>
      <c r="E28" s="8">
        <f t="shared" si="20"/>
        <v>0</v>
      </c>
      <c r="F28" s="8">
        <f t="shared" si="20"/>
        <v>0</v>
      </c>
      <c r="G28" s="8">
        <f t="shared" si="20"/>
        <v>0</v>
      </c>
      <c r="H28" s="8">
        <f t="shared" ref="H28:AA28" si="21">H26-H27</f>
        <v>-1062</v>
      </c>
      <c r="I28" s="8">
        <f t="shared" si="21"/>
        <v>-295</v>
      </c>
      <c r="J28" s="8">
        <f t="shared" si="21"/>
        <v>0</v>
      </c>
      <c r="K28" s="8">
        <f t="shared" si="21"/>
        <v>0</v>
      </c>
      <c r="L28" s="8">
        <f t="shared" si="21"/>
        <v>216</v>
      </c>
      <c r="M28" s="8">
        <f t="shared" si="21"/>
        <v>523</v>
      </c>
      <c r="N28" s="8">
        <f t="shared" si="21"/>
        <v>196</v>
      </c>
      <c r="O28" s="8">
        <f t="shared" si="21"/>
        <v>115</v>
      </c>
      <c r="P28" s="8">
        <f t="shared" si="21"/>
        <v>-590</v>
      </c>
      <c r="Q28" s="8">
        <f t="shared" si="21"/>
        <v>-613</v>
      </c>
      <c r="R28" s="8">
        <f t="shared" si="21"/>
        <v>-689</v>
      </c>
      <c r="S28" s="8">
        <f t="shared" si="21"/>
        <v>-78</v>
      </c>
      <c r="T28" s="8">
        <f t="shared" si="21"/>
        <v>-102</v>
      </c>
      <c r="U28" s="8">
        <f t="shared" si="21"/>
        <v>329</v>
      </c>
      <c r="V28" s="8">
        <f t="shared" si="21"/>
        <v>544</v>
      </c>
      <c r="W28" s="8">
        <f t="shared" si="21"/>
        <v>1112</v>
      </c>
      <c r="X28" s="8">
        <f t="shared" si="21"/>
        <v>123</v>
      </c>
      <c r="Y28" s="8">
        <f t="shared" si="21"/>
        <v>397</v>
      </c>
      <c r="Z28" s="8">
        <f t="shared" si="21"/>
        <v>540</v>
      </c>
      <c r="AA28" s="8">
        <f t="shared" si="21"/>
        <v>1039</v>
      </c>
      <c r="AB28" s="8">
        <f>AB26-AB27</f>
        <v>-223</v>
      </c>
      <c r="AC28" s="8">
        <f>AC26-AC27</f>
        <v>127</v>
      </c>
    </row>
    <row r="29" spans="1:29" x14ac:dyDescent="0.2">
      <c r="B29" s="25"/>
      <c r="R29" s="26"/>
      <c r="S29" s="26"/>
      <c r="T29" s="26"/>
      <c r="U29" s="26"/>
      <c r="V29" s="26"/>
      <c r="W29" s="26"/>
      <c r="X29" s="26"/>
    </row>
    <row r="30" spans="1:29" x14ac:dyDescent="0.2">
      <c r="B30" s="25" t="s">
        <v>36</v>
      </c>
      <c r="D30" s="6" t="e">
        <f>IF(#REF!=0,IF(D28=0,0,NA()),(D28-#REF!)/ABS(#REF!))</f>
        <v>#REF!</v>
      </c>
      <c r="E30" s="6" t="e">
        <f>IF(#REF!=0,IF(E28=0,0,NA()),(E28-#REF!)/ABS(#REF!))</f>
        <v>#REF!</v>
      </c>
      <c r="F30" s="6" t="e">
        <f>IF(#REF!=0,IF(F28=0,0,NA()),(F28-#REF!)/ABS(#REF!))</f>
        <v>#REF!</v>
      </c>
      <c r="G30" s="6" t="e">
        <f>IF(#REF!=0,IF(G28=0,0,NA()),(G28-#REF!)/ABS(#REF!))</f>
        <v>#REF!</v>
      </c>
      <c r="H30" s="6" t="e">
        <f t="shared" ref="H30" si="22">IF(D28=0,IF(H28=0,0,NA()),(H28-D28)/ABS(D28))</f>
        <v>#N/A</v>
      </c>
      <c r="I30" s="6" t="e">
        <f t="shared" ref="I30" si="23">IF(E28=0,IF(I28=0,0,NA()),(I28-E28)/ABS(E28))</f>
        <v>#N/A</v>
      </c>
      <c r="J30" s="6">
        <f t="shared" ref="J30" si="24">IF(F28=0,IF(J28=0,0,NA()),(J28-F28)/ABS(F28))</f>
        <v>0</v>
      </c>
      <c r="K30" s="6">
        <f t="shared" ref="K30" si="25">IF(G28=0,IF(K28=0,0,NA()),(K28-G28)/ABS(G28))</f>
        <v>0</v>
      </c>
      <c r="L30" s="6">
        <f t="shared" ref="L30:AA30" si="26">IF(H28=0,IF(L28=0,0,NA()),(L28-H28)/ABS(H28))</f>
        <v>1.2033898305084745</v>
      </c>
      <c r="M30" s="6">
        <f t="shared" si="26"/>
        <v>2.7728813559322032</v>
      </c>
      <c r="N30" s="6" t="e">
        <f t="shared" si="26"/>
        <v>#N/A</v>
      </c>
      <c r="O30" s="6" t="e">
        <f t="shared" si="26"/>
        <v>#N/A</v>
      </c>
      <c r="P30" s="6">
        <f t="shared" si="26"/>
        <v>-3.7314814814814814</v>
      </c>
      <c r="Q30" s="6">
        <f t="shared" si="26"/>
        <v>-2.1720841300191203</v>
      </c>
      <c r="R30" s="6">
        <f t="shared" si="26"/>
        <v>-4.5153061224489797</v>
      </c>
      <c r="S30" s="6">
        <f t="shared" si="26"/>
        <v>-1.6782608695652175</v>
      </c>
      <c r="T30" s="6">
        <f t="shared" si="26"/>
        <v>0.82711864406779656</v>
      </c>
      <c r="U30" s="6">
        <f t="shared" si="26"/>
        <v>1.5367047308319739</v>
      </c>
      <c r="V30" s="6">
        <f t="shared" si="26"/>
        <v>1.7895500725689404</v>
      </c>
      <c r="W30" s="6">
        <f t="shared" si="26"/>
        <v>15.256410256410257</v>
      </c>
      <c r="X30" s="6">
        <f t="shared" si="26"/>
        <v>2.2058823529411766</v>
      </c>
      <c r="Y30" s="6">
        <f t="shared" si="26"/>
        <v>0.20668693009118541</v>
      </c>
      <c r="Z30" s="6">
        <f t="shared" si="26"/>
        <v>-7.3529411764705881E-3</v>
      </c>
      <c r="AA30" s="6">
        <f t="shared" si="26"/>
        <v>-6.5647482014388484E-2</v>
      </c>
      <c r="AB30" s="6">
        <f>IF(X28=0,IF(AB28=0,0,NA()),(AB28-X28)/ABS(X28))</f>
        <v>-2.8130081300813008</v>
      </c>
      <c r="AC30" s="6">
        <f>IF(Y28=0,IF(AC28=0,0,NA()),(AC28-Y28)/ABS(Y28))</f>
        <v>-0.68010075566750627</v>
      </c>
    </row>
    <row r="31" spans="1:29" s="8" customFormat="1" ht="15" x14ac:dyDescent="0.25">
      <c r="A31" s="8" t="s">
        <v>107</v>
      </c>
      <c r="B31" s="28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 spans="1:29" s="8" customFormat="1" ht="15" x14ac:dyDescent="0.25">
      <c r="B32" s="28" t="s">
        <v>95</v>
      </c>
      <c r="D32" s="57"/>
      <c r="E32" s="57"/>
      <c r="F32" s="57"/>
      <c r="G32" s="57"/>
      <c r="H32" s="57"/>
      <c r="I32" s="57"/>
      <c r="J32" s="57"/>
      <c r="K32" s="57"/>
      <c r="L32" s="58">
        <v>0.25</v>
      </c>
      <c r="M32" s="58">
        <v>0.18</v>
      </c>
      <c r="N32" s="58">
        <v>0.06</v>
      </c>
      <c r="O32" s="58">
        <v>0.14000000000000001</v>
      </c>
      <c r="P32" s="57">
        <v>-0.22</v>
      </c>
      <c r="Q32" s="57">
        <v>-0.15</v>
      </c>
      <c r="R32" s="57">
        <v>-0.01</v>
      </c>
      <c r="S32" s="57">
        <v>-7.0000000000000007E-2</v>
      </c>
      <c r="T32" s="57">
        <v>-0.01</v>
      </c>
      <c r="U32" s="57">
        <v>-0.06</v>
      </c>
      <c r="V32" s="57">
        <v>0.01</v>
      </c>
      <c r="W32" s="57">
        <v>0.02</v>
      </c>
      <c r="X32" s="57">
        <v>0.03</v>
      </c>
      <c r="Y32" s="57">
        <v>0.05</v>
      </c>
      <c r="Z32" s="57">
        <v>0</v>
      </c>
      <c r="AA32" s="57">
        <v>0.03</v>
      </c>
      <c r="AB32" s="57">
        <v>0.03</v>
      </c>
      <c r="AC32" s="57">
        <v>0.02</v>
      </c>
    </row>
    <row r="33" spans="1:38" s="8" customFormat="1" ht="15" x14ac:dyDescent="0.25">
      <c r="B33" s="28" t="s">
        <v>110</v>
      </c>
      <c r="D33" s="57"/>
      <c r="E33" s="57"/>
      <c r="F33" s="57"/>
      <c r="G33" s="57"/>
      <c r="H33" s="57"/>
      <c r="I33" s="57"/>
      <c r="J33" s="57"/>
      <c r="K33" s="57"/>
      <c r="L33" s="59">
        <v>-1</v>
      </c>
      <c r="M33" s="58">
        <v>0.03</v>
      </c>
      <c r="N33" s="58">
        <v>0.03</v>
      </c>
      <c r="O33" s="58">
        <v>0.03</v>
      </c>
      <c r="P33" s="57">
        <v>-0.11</v>
      </c>
      <c r="Q33" s="57">
        <v>-7.0000000000000007E-2</v>
      </c>
      <c r="R33" s="57">
        <v>0.04</v>
      </c>
      <c r="S33" s="57">
        <v>-0.04</v>
      </c>
      <c r="T33" s="57">
        <v>0.01</v>
      </c>
      <c r="U33" s="57">
        <v>-0.01</v>
      </c>
      <c r="V33" s="57">
        <v>-0.01</v>
      </c>
      <c r="W33" s="57">
        <v>0.04</v>
      </c>
      <c r="X33" s="57">
        <v>0.03</v>
      </c>
      <c r="Y33" s="57">
        <v>0.03</v>
      </c>
      <c r="Z33" s="57">
        <v>0.03</v>
      </c>
      <c r="AA33" s="57">
        <v>7.0000000000000007E-2</v>
      </c>
      <c r="AB33" s="57">
        <v>0.05</v>
      </c>
      <c r="AC33" s="57">
        <v>0.04</v>
      </c>
    </row>
    <row r="34" spans="1:38" s="8" customFormat="1" ht="15" x14ac:dyDescent="0.25">
      <c r="B34" s="28" t="s">
        <v>97</v>
      </c>
      <c r="D34" s="57"/>
      <c r="E34" s="57"/>
      <c r="F34" s="57"/>
      <c r="G34" s="57"/>
      <c r="H34" s="57"/>
      <c r="I34" s="57"/>
      <c r="J34" s="57"/>
      <c r="K34" s="57"/>
      <c r="L34" s="58">
        <v>-0.22</v>
      </c>
      <c r="M34" s="58">
        <v>-0.15</v>
      </c>
      <c r="N34" s="58">
        <v>-0.1</v>
      </c>
      <c r="O34" s="58">
        <v>-0.02</v>
      </c>
      <c r="P34" s="57">
        <v>0.27</v>
      </c>
      <c r="Q34" s="57">
        <v>0.08</v>
      </c>
      <c r="R34" s="57">
        <v>0.1</v>
      </c>
      <c r="S34" s="57">
        <v>-0.03</v>
      </c>
      <c r="T34" s="57">
        <v>-0.08</v>
      </c>
      <c r="U34" s="57">
        <v>-0.08</v>
      </c>
      <c r="V34" s="57">
        <v>-0.08</v>
      </c>
      <c r="W34" s="57">
        <v>-0.04</v>
      </c>
      <c r="X34" s="57">
        <v>0.01</v>
      </c>
      <c r="Y34" s="57">
        <v>0</v>
      </c>
      <c r="Z34" s="57">
        <v>-0.01</v>
      </c>
      <c r="AA34" s="57">
        <v>0.04</v>
      </c>
      <c r="AB34" s="57">
        <v>0</v>
      </c>
      <c r="AC34" s="57">
        <v>0.04</v>
      </c>
    </row>
    <row r="35" spans="1:38" s="8" customFormat="1" ht="15" x14ac:dyDescent="0.25">
      <c r="B35" s="28" t="s">
        <v>98</v>
      </c>
      <c r="D35" s="57"/>
      <c r="E35" s="57"/>
      <c r="F35" s="57"/>
      <c r="G35" s="57"/>
      <c r="H35" s="57"/>
      <c r="I35" s="57"/>
      <c r="J35" s="57"/>
      <c r="K35" s="57"/>
      <c r="L35" s="58">
        <v>0.46</v>
      </c>
      <c r="M35" s="58">
        <v>0.27</v>
      </c>
      <c r="N35" s="58">
        <v>0.41</v>
      </c>
      <c r="O35" s="58">
        <v>0.42</v>
      </c>
      <c r="P35" s="57">
        <v>-7.0000000000000007E-2</v>
      </c>
      <c r="Q35" s="57">
        <v>-0.08</v>
      </c>
      <c r="R35" s="57">
        <v>0</v>
      </c>
      <c r="S35" s="57">
        <v>-0.05</v>
      </c>
      <c r="T35" s="57">
        <v>-0.13</v>
      </c>
      <c r="U35" s="57">
        <v>-7.0000000000000007E-2</v>
      </c>
      <c r="V35" s="57">
        <v>-0.19</v>
      </c>
      <c r="W35" s="57">
        <v>-0.1</v>
      </c>
      <c r="X35" s="57">
        <v>0.05</v>
      </c>
      <c r="Y35" s="57">
        <v>-0.04</v>
      </c>
      <c r="Z35" s="57">
        <v>0.05</v>
      </c>
      <c r="AA35" s="57">
        <v>-0.02</v>
      </c>
      <c r="AB35" s="57">
        <v>-0.08</v>
      </c>
      <c r="AC35" s="57">
        <v>-0.09</v>
      </c>
    </row>
    <row r="36" spans="1:38" x14ac:dyDescent="0.2">
      <c r="A36" s="48" t="s">
        <v>111</v>
      </c>
    </row>
    <row r="37" spans="1:38" s="6" customFormat="1" x14ac:dyDescent="0.2">
      <c r="B37" s="49" t="s">
        <v>95</v>
      </c>
      <c r="D37" s="6" t="e">
        <f>(D3 /#REF!) -1</f>
        <v>#REF!</v>
      </c>
      <c r="E37" s="6" t="e">
        <f>(E3 /#REF!) -1</f>
        <v>#REF!</v>
      </c>
      <c r="F37" s="6" t="e">
        <f>(F3 /#REF!) -1</f>
        <v>#REF!</v>
      </c>
      <c r="G37" s="6" t="e">
        <f>(G3 /#REF!) -1</f>
        <v>#REF!</v>
      </c>
      <c r="H37" s="6">
        <f t="shared" ref="H37:AB40" si="27">(H3 / D3) -1</f>
        <v>-0.42301278488048921</v>
      </c>
      <c r="I37" s="6">
        <f t="shared" si="27"/>
        <v>-4.6146044624746474E-2</v>
      </c>
      <c r="J37" s="6" t="e">
        <f t="shared" si="27"/>
        <v>#DIV/0!</v>
      </c>
      <c r="K37" s="6" t="e">
        <f t="shared" si="27"/>
        <v>#DIV/0!</v>
      </c>
      <c r="L37" s="6">
        <f t="shared" si="27"/>
        <v>1.1965317919075145</v>
      </c>
      <c r="M37" s="6">
        <f t="shared" si="27"/>
        <v>0.27060074428495473</v>
      </c>
      <c r="N37" s="6" t="e">
        <f t="shared" si="27"/>
        <v>#DIV/0!</v>
      </c>
      <c r="O37" s="6" t="e">
        <f t="shared" si="27"/>
        <v>#DIV/0!</v>
      </c>
      <c r="P37" s="6">
        <f t="shared" si="27"/>
        <v>-0.19254385964912279</v>
      </c>
      <c r="Q37" s="6">
        <f t="shared" si="27"/>
        <v>-0.12552301255230125</v>
      </c>
      <c r="R37" s="6">
        <f t="shared" si="27"/>
        <v>1.5201900237529653E-2</v>
      </c>
      <c r="S37" s="6">
        <f t="shared" si="27"/>
        <v>-6.1118335500650156E-2</v>
      </c>
      <c r="T37" s="6">
        <f t="shared" si="27"/>
        <v>-7.0613796849537946E-3</v>
      </c>
      <c r="U37" s="6">
        <f t="shared" si="27"/>
        <v>-6.1722488038277512E-2</v>
      </c>
      <c r="V37" s="6">
        <f t="shared" si="27"/>
        <v>-5.1474029012634759E-3</v>
      </c>
      <c r="W37" s="6">
        <f t="shared" si="27"/>
        <v>5.632502308402576E-2</v>
      </c>
      <c r="X37" s="6">
        <f t="shared" si="27"/>
        <v>4.8140043763676088E-2</v>
      </c>
      <c r="Y37" s="6">
        <f t="shared" si="27"/>
        <v>8.2610912799591985E-2</v>
      </c>
      <c r="Z37" s="6">
        <f t="shared" si="27"/>
        <v>1.1288805268109048E-2</v>
      </c>
      <c r="AA37" s="6">
        <f t="shared" si="27"/>
        <v>-3.321678321678323E-2</v>
      </c>
      <c r="AB37" s="6">
        <f t="shared" si="27"/>
        <v>3.3924843423799533E-2</v>
      </c>
      <c r="AC37" s="6">
        <f>(AC3 / Y3) -1</f>
        <v>1.2717852096090443E-2</v>
      </c>
    </row>
    <row r="38" spans="1:38" s="6" customFormat="1" x14ac:dyDescent="0.2">
      <c r="B38" s="49" t="s">
        <v>96</v>
      </c>
      <c r="D38" s="6" t="e">
        <f>(D4 /#REF!) -1</f>
        <v>#REF!</v>
      </c>
      <c r="E38" s="6" t="e">
        <f>(E4 /#REF!) -1</f>
        <v>#REF!</v>
      </c>
      <c r="F38" s="6" t="e">
        <f>(F4 /#REF!) -1</f>
        <v>#REF!</v>
      </c>
      <c r="G38" s="6" t="e">
        <f>(G4 /#REF!) -1</f>
        <v>#REF!</v>
      </c>
      <c r="H38" s="6">
        <f t="shared" si="27"/>
        <v>-0.50190114068441072</v>
      </c>
      <c r="I38" s="6">
        <f t="shared" si="27"/>
        <v>-0.27900552486187846</v>
      </c>
      <c r="J38" s="6" t="e">
        <f t="shared" si="27"/>
        <v>#DIV/0!</v>
      </c>
      <c r="K38" s="6" t="e">
        <f t="shared" si="27"/>
        <v>#DIV/0!</v>
      </c>
      <c r="L38" s="6">
        <f t="shared" si="27"/>
        <v>0.69083969465648853</v>
      </c>
      <c r="M38" s="6">
        <f t="shared" si="27"/>
        <v>0.24393358876117488</v>
      </c>
      <c r="N38" s="6" t="e">
        <f t="shared" si="27"/>
        <v>#DIV/0!</v>
      </c>
      <c r="O38" s="6" t="e">
        <f t="shared" si="27"/>
        <v>#DIV/0!</v>
      </c>
      <c r="P38" s="6">
        <f t="shared" si="27"/>
        <v>-0.10722347629796836</v>
      </c>
      <c r="Q38" s="6">
        <f t="shared" si="27"/>
        <v>-9.5482546201232088E-2</v>
      </c>
      <c r="R38" s="6">
        <f t="shared" si="27"/>
        <v>1.9249278152069227E-3</v>
      </c>
      <c r="S38" s="6">
        <f t="shared" si="27"/>
        <v>-8.8487972508591084E-2</v>
      </c>
      <c r="T38" s="6">
        <f t="shared" si="27"/>
        <v>-0.12515802781289509</v>
      </c>
      <c r="U38" s="6">
        <f t="shared" si="27"/>
        <v>-0.14301929625425658</v>
      </c>
      <c r="V38" s="6">
        <f t="shared" si="27"/>
        <v>-0.14793467819404416</v>
      </c>
      <c r="W38" s="6">
        <f t="shared" si="27"/>
        <v>-5.0895381715362897E-2</v>
      </c>
      <c r="X38" s="6">
        <f t="shared" si="27"/>
        <v>-4.3352601156069204E-3</v>
      </c>
      <c r="Y38" s="6">
        <f t="shared" si="27"/>
        <v>1.4569536423840956E-2</v>
      </c>
      <c r="Z38" s="6">
        <f t="shared" si="27"/>
        <v>1.3528748590755368E-2</v>
      </c>
      <c r="AA38" s="6">
        <f t="shared" si="27"/>
        <v>-2.6812313803376342E-2</v>
      </c>
      <c r="AB38" s="6">
        <f t="shared" si="27"/>
        <v>5.079825834542806E-2</v>
      </c>
      <c r="AC38" s="6">
        <f t="shared" ref="AC38:AC40" si="28">(AC4 / Y4) -1</f>
        <v>7.8328981723236879E-3</v>
      </c>
    </row>
    <row r="39" spans="1:38" s="6" customFormat="1" x14ac:dyDescent="0.2">
      <c r="B39" s="49" t="s">
        <v>97</v>
      </c>
      <c r="D39" s="6" t="e">
        <f>(D5 /#REF!) -1</f>
        <v>#REF!</v>
      </c>
      <c r="E39" s="6" t="e">
        <f>(E5 /#REF!) -1</f>
        <v>#REF!</v>
      </c>
      <c r="F39" s="6" t="e">
        <f>(F5 /#REF!) -1</f>
        <v>#REF!</v>
      </c>
      <c r="G39" s="6" t="e">
        <f>(G5 /#REF!) -1</f>
        <v>#REF!</v>
      </c>
      <c r="H39" s="6">
        <f t="shared" si="27"/>
        <v>-0.49119718309859151</v>
      </c>
      <c r="I39" s="6">
        <f t="shared" si="27"/>
        <v>-0.54058441558441561</v>
      </c>
      <c r="J39" s="6" t="e">
        <f t="shared" si="27"/>
        <v>#DIV/0!</v>
      </c>
      <c r="K39" s="6" t="e">
        <f t="shared" si="27"/>
        <v>#DIV/0!</v>
      </c>
      <c r="L39" s="6">
        <f t="shared" si="27"/>
        <v>0.34602076124567471</v>
      </c>
      <c r="M39" s="6">
        <f t="shared" si="27"/>
        <v>0.74911660777385158</v>
      </c>
      <c r="N39" s="6" t="e">
        <f t="shared" si="27"/>
        <v>#DIV/0!</v>
      </c>
      <c r="O39" s="6" t="e">
        <f t="shared" si="27"/>
        <v>#DIV/0!</v>
      </c>
      <c r="P39" s="6">
        <f t="shared" si="27"/>
        <v>0.23907455012853474</v>
      </c>
      <c r="Q39" s="6">
        <f t="shared" si="27"/>
        <v>8.8888888888888795E-2</v>
      </c>
      <c r="R39" s="6">
        <f t="shared" si="27"/>
        <v>7.9331941544885209E-2</v>
      </c>
      <c r="S39" s="6">
        <f t="shared" si="27"/>
        <v>-5.7096247960848334E-2</v>
      </c>
      <c r="T39" s="6">
        <f t="shared" si="27"/>
        <v>-0.10373443983402486</v>
      </c>
      <c r="U39" s="6">
        <f t="shared" si="27"/>
        <v>-0.10946196660482377</v>
      </c>
      <c r="V39" s="6">
        <f t="shared" si="27"/>
        <v>-0.11025145067698261</v>
      </c>
      <c r="W39" s="6">
        <f t="shared" si="27"/>
        <v>-1.9031141868512069E-2</v>
      </c>
      <c r="X39" s="6">
        <f t="shared" si="27"/>
        <v>1.8518518518518601E-2</v>
      </c>
      <c r="Y39" s="6">
        <f t="shared" si="27"/>
        <v>-2.0833333333333259E-3</v>
      </c>
      <c r="Z39" s="6">
        <f t="shared" si="27"/>
        <v>1.9565217391304346E-2</v>
      </c>
      <c r="AA39" s="6">
        <f t="shared" si="27"/>
        <v>-3.8800705467372132E-2</v>
      </c>
      <c r="AB39" s="6">
        <f t="shared" si="27"/>
        <v>-2.7272727272727226E-2</v>
      </c>
      <c r="AC39" s="6">
        <f t="shared" si="28"/>
        <v>-8.3507306889353261E-3</v>
      </c>
    </row>
    <row r="40" spans="1:38" s="6" customFormat="1" x14ac:dyDescent="0.2">
      <c r="B40" s="49" t="s">
        <v>98</v>
      </c>
      <c r="D40" s="6" t="e">
        <f>(D6 /#REF!) -1</f>
        <v>#REF!</v>
      </c>
      <c r="E40" s="6" t="e">
        <f>(E6 /#REF!) -1</f>
        <v>#REF!</v>
      </c>
      <c r="F40" s="6" t="e">
        <f>(F6 /#REF!) -1</f>
        <v>#REF!</v>
      </c>
      <c r="G40" s="6" t="e">
        <f>(G6 /#REF!) -1</f>
        <v>#REF!</v>
      </c>
      <c r="H40" s="6">
        <f t="shared" si="27"/>
        <v>-8.0717488789237679E-2</v>
      </c>
      <c r="I40" s="6">
        <f t="shared" si="27"/>
        <v>5.9523809523809534E-2</v>
      </c>
      <c r="J40" s="6" t="e">
        <f t="shared" si="27"/>
        <v>#DIV/0!</v>
      </c>
      <c r="K40" s="6" t="e">
        <f t="shared" si="27"/>
        <v>#DIV/0!</v>
      </c>
      <c r="L40" s="6">
        <f t="shared" si="27"/>
        <v>0.69268292682926824</v>
      </c>
      <c r="M40" s="6">
        <f t="shared" si="27"/>
        <v>0.27715355805243447</v>
      </c>
      <c r="N40" s="6" t="e">
        <f t="shared" si="27"/>
        <v>#DIV/0!</v>
      </c>
      <c r="O40" s="6" t="e">
        <f t="shared" si="27"/>
        <v>#DIV/0!</v>
      </c>
      <c r="P40" s="6">
        <f t="shared" si="27"/>
        <v>3.7463976945244948E-2</v>
      </c>
      <c r="Q40" s="6">
        <f t="shared" si="27"/>
        <v>8.7976539589442737E-3</v>
      </c>
      <c r="R40" s="6">
        <f t="shared" si="27"/>
        <v>6.25E-2</v>
      </c>
      <c r="S40" s="6">
        <f t="shared" si="27"/>
        <v>-6.8337129840546629E-3</v>
      </c>
      <c r="T40" s="6">
        <f t="shared" si="27"/>
        <v>-0.10833333333333328</v>
      </c>
      <c r="U40" s="6">
        <f t="shared" si="27"/>
        <v>-8.720930232558155E-3</v>
      </c>
      <c r="V40" s="6">
        <f t="shared" si="27"/>
        <v>-0.17941176470588238</v>
      </c>
      <c r="W40" s="6">
        <f t="shared" si="27"/>
        <v>-3.8990825688073438E-2</v>
      </c>
      <c r="X40" s="6">
        <f t="shared" si="27"/>
        <v>2.4922118380062308E-2</v>
      </c>
      <c r="Y40" s="6">
        <f t="shared" si="27"/>
        <v>-8.7976539589442737E-3</v>
      </c>
      <c r="Z40" s="6">
        <f t="shared" si="27"/>
        <v>3.9426523297491078E-2</v>
      </c>
      <c r="AA40" s="6">
        <f t="shared" si="27"/>
        <v>-5.4892601431980936E-2</v>
      </c>
      <c r="AB40" s="6">
        <f t="shared" si="27"/>
        <v>-6.3829787234042534E-2</v>
      </c>
      <c r="AC40" s="6">
        <f t="shared" si="28"/>
        <v>-0.1124260355029586</v>
      </c>
    </row>
    <row r="41" spans="1:38" ht="15" thickBot="1" x14ac:dyDescent="0.25">
      <c r="B41" s="25"/>
      <c r="S41" s="10"/>
    </row>
    <row r="42" spans="1:38" x14ac:dyDescent="0.2">
      <c r="B42" s="11" t="s">
        <v>37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42"/>
      <c r="AC42" s="50" t="s">
        <v>99</v>
      </c>
      <c r="AD42" s="12"/>
      <c r="AE42" s="12"/>
      <c r="AF42" s="12"/>
      <c r="AG42" s="12"/>
      <c r="AH42" s="12"/>
      <c r="AI42" s="12"/>
      <c r="AJ42" s="12"/>
      <c r="AK42" s="12"/>
      <c r="AL42" s="13"/>
    </row>
    <row r="43" spans="1:38" x14ac:dyDescent="0.2">
      <c r="B43" s="14"/>
      <c r="AB43" s="43"/>
      <c r="AC43" s="48" t="s">
        <v>100</v>
      </c>
      <c r="AL43" s="15"/>
    </row>
    <row r="44" spans="1:38" x14ac:dyDescent="0.2">
      <c r="B44" s="14"/>
      <c r="AB44" s="43"/>
      <c r="AC44" s="53" t="s">
        <v>108</v>
      </c>
      <c r="AL44" s="15"/>
    </row>
    <row r="45" spans="1:38" ht="15.75" thickBot="1" x14ac:dyDescent="0.3"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44"/>
      <c r="AC45" s="41"/>
      <c r="AD45" s="18"/>
      <c r="AE45" s="18"/>
      <c r="AF45" s="18"/>
      <c r="AG45" s="18"/>
      <c r="AH45" s="18"/>
      <c r="AI45" s="18"/>
      <c r="AJ45" s="18"/>
      <c r="AK45" s="18"/>
      <c r="AL45" s="19"/>
    </row>
    <row r="46" spans="1:38" ht="15" thickBot="1" x14ac:dyDescent="0.25"/>
    <row r="47" spans="1:38" x14ac:dyDescent="0.2">
      <c r="B47" s="11" t="s">
        <v>39</v>
      </c>
      <c r="C47" s="12"/>
      <c r="D47" s="12"/>
      <c r="E47" s="12"/>
      <c r="F47" s="12"/>
      <c r="G47" s="12"/>
      <c r="H47" s="12" t="s">
        <v>61</v>
      </c>
      <c r="I47" s="12" t="s">
        <v>61</v>
      </c>
      <c r="J47" s="12" t="s">
        <v>61</v>
      </c>
      <c r="K47" s="12" t="s">
        <v>61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W47" s="12"/>
      <c r="X47" s="12"/>
      <c r="Y47" s="12"/>
      <c r="Z47" s="12"/>
      <c r="AA47" s="12"/>
      <c r="AB47" s="12"/>
      <c r="AC47" s="54" t="s">
        <v>109</v>
      </c>
      <c r="AD47" s="12"/>
      <c r="AE47" s="13"/>
    </row>
    <row r="48" spans="1:38" x14ac:dyDescent="0.2">
      <c r="B48" s="14"/>
      <c r="M48" s="48" t="s">
        <v>113</v>
      </c>
      <c r="AC48" s="48" t="s">
        <v>114</v>
      </c>
      <c r="AE48" s="15"/>
    </row>
    <row r="49" spans="2:38" x14ac:dyDescent="0.2">
      <c r="B49" s="14"/>
      <c r="AE49" s="15"/>
    </row>
    <row r="50" spans="2:38" x14ac:dyDescent="0.2">
      <c r="B50" s="14"/>
      <c r="AE50" s="15"/>
    </row>
    <row r="51" spans="2:38" ht="15" thickBo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9"/>
    </row>
    <row r="52" spans="2:38" ht="15" thickBot="1" x14ac:dyDescent="0.25"/>
    <row r="53" spans="2:38" x14ac:dyDescent="0.2">
      <c r="B53" s="11" t="s">
        <v>86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3"/>
      <c r="AC53" s="1">
        <v>373</v>
      </c>
    </row>
    <row r="54" spans="2:38" x14ac:dyDescent="0.2">
      <c r="B54" s="14"/>
      <c r="AB54" s="15"/>
    </row>
    <row r="55" spans="2:38" x14ac:dyDescent="0.2">
      <c r="B55" s="14"/>
      <c r="AB55" s="15"/>
    </row>
    <row r="56" spans="2:38" ht="15" thickBot="1" x14ac:dyDescent="0.25"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9"/>
    </row>
    <row r="58" spans="2:38" ht="15" thickBot="1" x14ac:dyDescent="0.25"/>
    <row r="59" spans="2:38" x14ac:dyDescent="0.2"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3"/>
    </row>
    <row r="60" spans="2:38" x14ac:dyDescent="0.2">
      <c r="B60" s="14"/>
      <c r="AL60" s="15"/>
    </row>
    <row r="61" spans="2:38" ht="15" customHeight="1" x14ac:dyDescent="0.2">
      <c r="B61" s="14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7"/>
    </row>
    <row r="62" spans="2:38" ht="15" customHeight="1" x14ac:dyDescent="0.2">
      <c r="B62" s="14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7"/>
    </row>
    <row r="63" spans="2:38" ht="15" customHeight="1" x14ac:dyDescent="0.2">
      <c r="B63" s="14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</row>
    <row r="64" spans="2:38" ht="15" customHeight="1" x14ac:dyDescent="0.2">
      <c r="B64" s="14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7"/>
    </row>
    <row r="65" spans="2:38" ht="15" customHeight="1" x14ac:dyDescent="0.2">
      <c r="B65" s="14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7"/>
    </row>
    <row r="66" spans="2:38" ht="15" customHeight="1" x14ac:dyDescent="0.2">
      <c r="B66" s="14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</row>
    <row r="67" spans="2:38" ht="15" customHeight="1" x14ac:dyDescent="0.2">
      <c r="B67" s="14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7"/>
    </row>
    <row r="68" spans="2:38" ht="15" customHeight="1" x14ac:dyDescent="0.2">
      <c r="B68" s="14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7"/>
    </row>
    <row r="69" spans="2:38" ht="15" customHeight="1" x14ac:dyDescent="0.2">
      <c r="B69" s="14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</row>
    <row r="70" spans="2:38" ht="15.75" customHeight="1" x14ac:dyDescent="0.2">
      <c r="B70" s="14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7"/>
    </row>
    <row r="71" spans="2:38" ht="15" x14ac:dyDescent="0.25">
      <c r="B71" s="14"/>
      <c r="W71" s="8"/>
      <c r="AL71" s="15"/>
    </row>
    <row r="72" spans="2:38" x14ac:dyDescent="0.2">
      <c r="B72" s="14"/>
      <c r="AL72" s="15"/>
    </row>
    <row r="73" spans="2:38" x14ac:dyDescent="0.2">
      <c r="B73" s="14"/>
      <c r="AL73" s="15"/>
    </row>
    <row r="74" spans="2:38" x14ac:dyDescent="0.2">
      <c r="B74" s="14"/>
      <c r="AL74" s="15"/>
    </row>
    <row r="75" spans="2:38" x14ac:dyDescent="0.2">
      <c r="B75" s="14"/>
      <c r="AL75" s="15"/>
    </row>
    <row r="76" spans="2:38" x14ac:dyDescent="0.2">
      <c r="B76" s="14"/>
      <c r="AL76" s="15"/>
    </row>
    <row r="77" spans="2:38" x14ac:dyDescent="0.2">
      <c r="B77" s="14"/>
      <c r="AL77" s="15"/>
    </row>
    <row r="78" spans="2:38" x14ac:dyDescent="0.2">
      <c r="B78" s="14"/>
      <c r="AL78" s="15"/>
    </row>
    <row r="79" spans="2:38" x14ac:dyDescent="0.2">
      <c r="B79" s="14"/>
      <c r="AL79" s="15"/>
    </row>
    <row r="80" spans="2:38" x14ac:dyDescent="0.2">
      <c r="B80" s="14"/>
      <c r="AL80" s="15"/>
    </row>
    <row r="81" spans="2:38" x14ac:dyDescent="0.2">
      <c r="B81" s="14"/>
      <c r="AL81" s="15"/>
    </row>
    <row r="82" spans="2:38" x14ac:dyDescent="0.2">
      <c r="B82" s="14"/>
      <c r="AL82" s="15"/>
    </row>
    <row r="83" spans="2:38" x14ac:dyDescent="0.2">
      <c r="B83" s="14"/>
      <c r="AL83" s="15"/>
    </row>
    <row r="84" spans="2:38" ht="15" thickBot="1" x14ac:dyDescent="0.25">
      <c r="B84" s="17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9"/>
    </row>
  </sheetData>
  <dataConsolidate/>
  <mergeCells count="10">
    <mergeCell ref="C67:AL67"/>
    <mergeCell ref="C68:AL68"/>
    <mergeCell ref="C69:AL69"/>
    <mergeCell ref="C70:AL70"/>
    <mergeCell ref="C61:AL61"/>
    <mergeCell ref="C62:AL62"/>
    <mergeCell ref="C63:AL63"/>
    <mergeCell ref="C64:AL64"/>
    <mergeCell ref="C65:AL65"/>
    <mergeCell ref="C66:AL66"/>
  </mergeCells>
  <hyperlinks>
    <hyperlink ref="A1" location="Main!A1" display="Main" xr:uid="{49D47395-B320-4F84-B23D-E18BA12E517C}"/>
  </hyperlink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2DB1-BE07-4099-BB67-A6E5D59E05D2}">
  <dimension ref="A1:D10"/>
  <sheetViews>
    <sheetView workbookViewId="0">
      <selection activeCell="A12" sqref="A12"/>
    </sheetView>
  </sheetViews>
  <sheetFormatPr defaultRowHeight="14.25" x14ac:dyDescent="0.2"/>
  <cols>
    <col min="1" max="1" width="61.28515625" style="48" bestFit="1" customWidth="1"/>
    <col min="2" max="16384" width="9.140625" style="48"/>
  </cols>
  <sheetData>
    <row r="1" spans="1:4" x14ac:dyDescent="0.2">
      <c r="A1" s="48" t="s">
        <v>91</v>
      </c>
      <c r="B1" s="48">
        <v>750</v>
      </c>
    </row>
    <row r="2" spans="1:4" x14ac:dyDescent="0.2">
      <c r="A2" s="48" t="s">
        <v>92</v>
      </c>
      <c r="B2" s="48">
        <v>750</v>
      </c>
      <c r="D2" s="48" t="s">
        <v>48</v>
      </c>
    </row>
    <row r="3" spans="1:4" x14ac:dyDescent="0.2">
      <c r="A3" s="48" t="s">
        <v>93</v>
      </c>
      <c r="B3" s="48">
        <v>0</v>
      </c>
    </row>
    <row r="5" spans="1:4" x14ac:dyDescent="0.2">
      <c r="A5" s="48" t="s">
        <v>49</v>
      </c>
      <c r="B5" s="48">
        <v>631</v>
      </c>
    </row>
    <row r="6" spans="1:4" x14ac:dyDescent="0.2">
      <c r="A6" s="48" t="s">
        <v>50</v>
      </c>
      <c r="B6" s="48">
        <v>3470</v>
      </c>
    </row>
    <row r="8" spans="1:4" x14ac:dyDescent="0.2">
      <c r="A8" s="48" t="s">
        <v>51</v>
      </c>
      <c r="B8" s="48">
        <f>SUM(B5:B6)</f>
        <v>4101</v>
      </c>
    </row>
    <row r="10" spans="1:4" x14ac:dyDescent="0.2">
      <c r="A10" s="48" t="s">
        <v>94</v>
      </c>
      <c r="B10" s="48">
        <f>SUM(B1, B2, B8)</f>
        <v>5601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1CCF-214C-4799-9BEE-D3FB22B6975A}">
  <dimension ref="A1:L5"/>
  <sheetViews>
    <sheetView workbookViewId="0">
      <selection activeCell="N7" sqref="N7"/>
    </sheetView>
  </sheetViews>
  <sheetFormatPr defaultRowHeight="14.25" x14ac:dyDescent="0.2"/>
  <cols>
    <col min="1" max="1" width="13.42578125" style="1" bestFit="1" customWidth="1"/>
    <col min="2" max="2" width="9.140625" style="1"/>
    <col min="3" max="3" width="10.140625" style="1" bestFit="1" customWidth="1"/>
    <col min="4" max="4" width="8.140625" style="1" bestFit="1" customWidth="1"/>
    <col min="5" max="5" width="9.42578125" style="1" bestFit="1" customWidth="1"/>
    <col min="6" max="6" width="20.42578125" style="1" bestFit="1" customWidth="1"/>
    <col min="7" max="7" width="8.5703125" style="1" bestFit="1" customWidth="1"/>
    <col min="8" max="8" width="10.5703125" style="1" bestFit="1" customWidth="1"/>
    <col min="9" max="9" width="9.140625" style="1"/>
    <col min="10" max="11" width="12.28515625" style="1" bestFit="1" customWidth="1"/>
    <col min="12" max="16384" width="9.140625" style="1"/>
  </cols>
  <sheetData>
    <row r="1" spans="1:12" x14ac:dyDescent="0.2">
      <c r="C1" s="48" t="s">
        <v>95</v>
      </c>
      <c r="D1" s="48" t="s">
        <v>101</v>
      </c>
      <c r="E1" s="48" t="s">
        <v>102</v>
      </c>
      <c r="F1" s="48" t="s">
        <v>103</v>
      </c>
      <c r="G1" s="48" t="s">
        <v>104</v>
      </c>
      <c r="H1" s="48" t="s">
        <v>105</v>
      </c>
      <c r="J1" s="48" t="s">
        <v>112</v>
      </c>
      <c r="K1" s="48" t="s">
        <v>28</v>
      </c>
      <c r="L1" s="48" t="s">
        <v>17</v>
      </c>
    </row>
    <row r="2" spans="1:12" x14ac:dyDescent="0.2">
      <c r="A2" s="48" t="s">
        <v>5</v>
      </c>
      <c r="C2" s="1">
        <v>1249</v>
      </c>
      <c r="D2" s="1">
        <v>453</v>
      </c>
      <c r="E2" s="1">
        <v>122</v>
      </c>
      <c r="F2" s="1">
        <v>380</v>
      </c>
      <c r="G2" s="1">
        <v>42</v>
      </c>
      <c r="H2" s="1">
        <v>260</v>
      </c>
      <c r="K2" s="1">
        <f>SUM(C2:H2)</f>
        <v>2506</v>
      </c>
      <c r="L2" s="1">
        <v>3352</v>
      </c>
    </row>
    <row r="3" spans="1:12" x14ac:dyDescent="0.2">
      <c r="A3" s="48" t="s">
        <v>28</v>
      </c>
      <c r="C3" s="1">
        <v>1240</v>
      </c>
      <c r="D3" s="1">
        <v>453</v>
      </c>
      <c r="E3" s="1">
        <v>125</v>
      </c>
      <c r="F3" s="1">
        <v>371</v>
      </c>
      <c r="G3" s="1">
        <v>42</v>
      </c>
      <c r="H3" s="1">
        <v>255</v>
      </c>
      <c r="K3" s="1">
        <f>SUM(C3:H3)</f>
        <v>2486</v>
      </c>
    </row>
    <row r="5" spans="1:12" x14ac:dyDescent="0.2">
      <c r="A5" s="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ACC-FEA2-4C5B-AF79-59D39A66A975}">
  <dimension ref="A1:K26"/>
  <sheetViews>
    <sheetView workbookViewId="0">
      <selection activeCell="D17" sqref="D17"/>
    </sheetView>
  </sheetViews>
  <sheetFormatPr defaultRowHeight="14.25" x14ac:dyDescent="0.2"/>
  <cols>
    <col min="1" max="1" width="24.5703125" style="33" bestFit="1" customWidth="1"/>
    <col min="2" max="2" width="22.85546875" style="33" bestFit="1" customWidth="1"/>
    <col min="3" max="3" width="10.28515625" style="33" bestFit="1" customWidth="1"/>
    <col min="4" max="4" width="23" style="33" bestFit="1" customWidth="1"/>
    <col min="5" max="6" width="19" style="33" bestFit="1" customWidth="1"/>
    <col min="7" max="7" width="11.5703125" style="33" bestFit="1" customWidth="1"/>
    <col min="8" max="8" width="13.42578125" style="33" bestFit="1" customWidth="1"/>
    <col min="9" max="9" width="18.85546875" style="33" bestFit="1" customWidth="1"/>
    <col min="10" max="10" width="19.7109375" style="33" bestFit="1" customWidth="1"/>
    <col min="11" max="11" width="13.7109375" style="33" bestFit="1" customWidth="1"/>
    <col min="12" max="16384" width="9.140625" style="33"/>
  </cols>
  <sheetData>
    <row r="1" spans="1:11" ht="15" x14ac:dyDescent="0.2">
      <c r="A1" s="20" t="s">
        <v>62</v>
      </c>
      <c r="B1" s="20" t="s">
        <v>63</v>
      </c>
      <c r="C1" s="20" t="s">
        <v>64</v>
      </c>
      <c r="D1" s="20" t="s">
        <v>44</v>
      </c>
      <c r="E1" s="20" t="s">
        <v>45</v>
      </c>
      <c r="F1" s="20" t="s">
        <v>65</v>
      </c>
      <c r="G1" s="20" t="s">
        <v>66</v>
      </c>
      <c r="H1" s="20" t="s">
        <v>67</v>
      </c>
      <c r="I1" s="20" t="s">
        <v>68</v>
      </c>
      <c r="J1" s="20"/>
      <c r="K1" s="20"/>
    </row>
    <row r="2" spans="1:11" ht="15" x14ac:dyDescent="0.2">
      <c r="A2" s="34" t="s">
        <v>69</v>
      </c>
      <c r="B2" s="35">
        <v>5.27</v>
      </c>
      <c r="C2" s="35">
        <v>0.19700000000000001</v>
      </c>
      <c r="D2" s="36">
        <v>0.36919999999999997</v>
      </c>
      <c r="E2" s="36">
        <v>5.7599999999999998E-2</v>
      </c>
      <c r="F2" s="37">
        <v>16.5</v>
      </c>
      <c r="G2" s="37">
        <v>15.18</v>
      </c>
      <c r="H2" s="37">
        <v>8.94</v>
      </c>
      <c r="I2" s="37">
        <v>0.56000000000000005</v>
      </c>
    </row>
    <row r="3" spans="1:11" ht="15" x14ac:dyDescent="0.2">
      <c r="A3" s="32" t="s">
        <v>70</v>
      </c>
      <c r="B3" s="32">
        <v>5.03</v>
      </c>
      <c r="C3" s="32">
        <v>0.53</v>
      </c>
      <c r="D3" s="22">
        <v>0.63200000000000001</v>
      </c>
      <c r="E3" s="38">
        <v>0.14399999999999999</v>
      </c>
      <c r="F3" s="21">
        <v>9.4</v>
      </c>
      <c r="G3" s="21">
        <v>9.3000000000000007</v>
      </c>
      <c r="H3" s="21">
        <v>5.6</v>
      </c>
      <c r="I3" s="32">
        <v>0.91</v>
      </c>
      <c r="J3" s="32"/>
      <c r="K3" s="32"/>
    </row>
    <row r="4" spans="1:11" ht="15" x14ac:dyDescent="0.2">
      <c r="A4" s="32" t="s">
        <v>71</v>
      </c>
      <c r="B4" s="21">
        <v>15.16</v>
      </c>
      <c r="C4" s="32">
        <v>0.88</v>
      </c>
      <c r="D4" s="38">
        <v>0.41399999999999998</v>
      </c>
      <c r="E4" s="38">
        <v>7.6999999999999999E-2</v>
      </c>
      <c r="F4" s="32">
        <v>8.4</v>
      </c>
      <c r="G4" s="32">
        <v>9.1</v>
      </c>
      <c r="H4" s="32">
        <v>6.2</v>
      </c>
      <c r="I4" s="32">
        <v>0.47</v>
      </c>
      <c r="J4" s="32"/>
      <c r="K4" s="32"/>
    </row>
    <row r="5" spans="1:11" x14ac:dyDescent="0.2">
      <c r="A5" s="32" t="s">
        <v>72</v>
      </c>
      <c r="B5" s="32">
        <v>6.49</v>
      </c>
      <c r="C5" s="32">
        <v>0.41</v>
      </c>
      <c r="D5" s="38">
        <v>0.61099999999999999</v>
      </c>
      <c r="E5" s="38">
        <v>0.11700000000000001</v>
      </c>
      <c r="F5" s="32">
        <v>19.5</v>
      </c>
      <c r="G5" s="32">
        <v>14.7</v>
      </c>
      <c r="H5" s="32">
        <v>9.4</v>
      </c>
      <c r="I5" s="32">
        <v>1.18</v>
      </c>
      <c r="J5" s="32"/>
      <c r="K5" s="32"/>
    </row>
    <row r="6" spans="1:11" x14ac:dyDescent="0.2">
      <c r="A6" s="32" t="s">
        <v>73</v>
      </c>
      <c r="B6" s="32">
        <v>5.68</v>
      </c>
      <c r="C6" s="32">
        <v>0.45</v>
      </c>
      <c r="D6" s="38">
        <v>0.35299999999999998</v>
      </c>
      <c r="E6" s="38">
        <v>9.1999999999999998E-2</v>
      </c>
      <c r="F6" s="32">
        <v>16.3</v>
      </c>
      <c r="G6" s="32">
        <v>15.5</v>
      </c>
      <c r="H6" s="32">
        <v>11</v>
      </c>
      <c r="I6" s="32">
        <v>1.24</v>
      </c>
      <c r="J6" s="32"/>
      <c r="K6" s="32"/>
    </row>
    <row r="7" spans="1:11" ht="15" x14ac:dyDescent="0.2">
      <c r="A7" s="32" t="s">
        <v>74</v>
      </c>
      <c r="B7" s="32">
        <v>1.23</v>
      </c>
      <c r="C7" s="32">
        <v>0.2</v>
      </c>
      <c r="D7" s="38">
        <v>0.59</v>
      </c>
      <c r="E7" s="22">
        <v>0.19800000000000001</v>
      </c>
      <c r="F7" s="32">
        <v>12.9</v>
      </c>
      <c r="G7" s="32">
        <v>13.6</v>
      </c>
      <c r="H7" s="32">
        <v>9.6</v>
      </c>
      <c r="I7" s="32">
        <v>2.0099999999999998</v>
      </c>
      <c r="J7" s="32"/>
      <c r="K7" s="32"/>
    </row>
    <row r="8" spans="1:11" ht="15" x14ac:dyDescent="0.2">
      <c r="A8" s="21" t="s">
        <v>75</v>
      </c>
      <c r="B8" s="32">
        <v>10.75</v>
      </c>
      <c r="C8" s="21">
        <v>1.81</v>
      </c>
      <c r="D8" s="38">
        <v>0.59299999999999997</v>
      </c>
      <c r="E8" s="22">
        <v>0.23400000000000001</v>
      </c>
      <c r="F8" s="32">
        <v>13.3</v>
      </c>
      <c r="G8" s="32">
        <v>13.3</v>
      </c>
      <c r="H8" s="32">
        <v>7.9</v>
      </c>
      <c r="I8" s="32">
        <v>2.2000000000000002</v>
      </c>
    </row>
    <row r="9" spans="1:11" ht="15" x14ac:dyDescent="0.2">
      <c r="A9" s="32" t="s">
        <v>89</v>
      </c>
      <c r="B9" s="32">
        <v>6.96</v>
      </c>
      <c r="C9" s="32">
        <v>0.27</v>
      </c>
      <c r="D9" s="38">
        <v>0.41310000000000002</v>
      </c>
      <c r="E9" s="38">
        <v>5.2400000000000002E-2</v>
      </c>
      <c r="F9" s="32">
        <v>9.51</v>
      </c>
      <c r="G9" s="32">
        <v>8.9499999999999993</v>
      </c>
      <c r="H9" s="32">
        <v>7.71</v>
      </c>
      <c r="I9" s="21">
        <v>0.46</v>
      </c>
    </row>
    <row r="10" spans="1:11" ht="15" x14ac:dyDescent="0.2">
      <c r="A10" s="21" t="s">
        <v>87</v>
      </c>
      <c r="B10" s="32">
        <v>2.11</v>
      </c>
      <c r="C10" s="32">
        <v>0.17</v>
      </c>
      <c r="D10" s="38">
        <v>0.40350000000000003</v>
      </c>
      <c r="E10" s="38">
        <v>8.1000000000000003E-2</v>
      </c>
      <c r="F10" s="32">
        <v>19.72</v>
      </c>
      <c r="G10" s="32">
        <v>20.399999999999999</v>
      </c>
      <c r="H10" s="32">
        <v>16.899999999999999</v>
      </c>
      <c r="I10" s="32">
        <v>2.72</v>
      </c>
    </row>
    <row r="11" spans="1:11" ht="15" x14ac:dyDescent="0.2">
      <c r="A11" s="21" t="s">
        <v>88</v>
      </c>
      <c r="B11" s="32">
        <v>24.71</v>
      </c>
      <c r="C11" s="32">
        <v>1.05</v>
      </c>
      <c r="D11" s="38">
        <v>0.52590000000000003</v>
      </c>
      <c r="E11" s="38">
        <v>6.5799999999999997E-2</v>
      </c>
      <c r="F11" s="32">
        <v>23.13</v>
      </c>
      <c r="G11" s="32">
        <v>18.600000000000001</v>
      </c>
      <c r="H11" s="32">
        <v>8.2799999999999994</v>
      </c>
      <c r="I11" s="32">
        <v>0.98</v>
      </c>
    </row>
    <row r="17" spans="1:9" ht="15" x14ac:dyDescent="0.2">
      <c r="A17" s="39"/>
      <c r="B17" s="37"/>
      <c r="C17" s="37"/>
      <c r="D17" s="37"/>
      <c r="E17" s="37"/>
      <c r="F17" s="37"/>
      <c r="G17" s="37"/>
      <c r="H17" s="37"/>
      <c r="I17" s="37"/>
    </row>
    <row r="18" spans="1:9" ht="15" x14ac:dyDescent="0.2">
      <c r="A18" s="34"/>
      <c r="B18" s="35"/>
      <c r="C18" s="35"/>
      <c r="D18" s="36"/>
      <c r="E18" s="36"/>
      <c r="F18" s="37"/>
      <c r="G18" s="37"/>
      <c r="H18" s="37"/>
      <c r="I18" s="37"/>
    </row>
    <row r="19" spans="1:9" x14ac:dyDescent="0.2">
      <c r="D19" s="40"/>
      <c r="E19" s="40"/>
    </row>
    <row r="20" spans="1:9" x14ac:dyDescent="0.2">
      <c r="D20" s="40"/>
      <c r="E20" s="40"/>
    </row>
    <row r="21" spans="1:9" x14ac:dyDescent="0.2">
      <c r="D21" s="40"/>
      <c r="E21" s="40"/>
    </row>
    <row r="22" spans="1:9" x14ac:dyDescent="0.2">
      <c r="D22" s="40"/>
      <c r="E22" s="40"/>
    </row>
    <row r="23" spans="1:9" x14ac:dyDescent="0.2">
      <c r="D23" s="40"/>
      <c r="E23" s="40"/>
    </row>
    <row r="24" spans="1:9" x14ac:dyDescent="0.2">
      <c r="D24" s="40"/>
      <c r="E24" s="40"/>
    </row>
    <row r="25" spans="1:9" x14ac:dyDescent="0.2">
      <c r="D25" s="40"/>
      <c r="E25" s="40"/>
    </row>
    <row r="26" spans="1:9" x14ac:dyDescent="0.2">
      <c r="D26" s="40"/>
      <c r="E26" s="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BEE4C9A91F44BB4A4EF8E0A71E02" ma:contentTypeVersion="4" ma:contentTypeDescription="Create a new document." ma:contentTypeScope="" ma:versionID="d4db93f7cdcc50be3ddb7642c8d50e9a">
  <xsd:schema xmlns:xsd="http://www.w3.org/2001/XMLSchema" xmlns:xs="http://www.w3.org/2001/XMLSchema" xmlns:p="http://schemas.microsoft.com/office/2006/metadata/properties" xmlns:ns3="878aac0c-df32-40a9-a231-d93e9c7b9b1a" targetNamespace="http://schemas.microsoft.com/office/2006/metadata/properties" ma:root="true" ma:fieldsID="b63aaf3684aa43c37ed0cc1f5c2cf36e" ns3:_="">
    <xsd:import namespace="878aac0c-df32-40a9-a231-d93e9c7b9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aac0c-df32-40a9-a231-d93e9c7b9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D266F6-4EBB-4FCE-8CE5-50B9641EB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aac0c-df32-40a9-a231-d93e9c7b9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A951E8-5D72-42FD-8030-87DD7D8D4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65B96D-4012-4621-9665-52F685045C2D}">
  <ds:schemaRefs>
    <ds:schemaRef ds:uri="878aac0c-df32-40a9-a231-d93e9c7b9b1a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Debt</vt:lpstr>
      <vt:lpstr>Stores</vt:lpstr>
      <vt:lpstr>Peer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Quach</dc:creator>
  <cp:lastModifiedBy>Joey Chew</cp:lastModifiedBy>
  <dcterms:created xsi:type="dcterms:W3CDTF">2025-03-07T15:54:01Z</dcterms:created>
  <dcterms:modified xsi:type="dcterms:W3CDTF">2025-09-22T15:33:41Z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0x010100C341BEE4C9A91F44BB4A4EF8E0A71E02</vt:lpwstr>
  </property>
</Properties>
</file>