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GitHub\Models\Health Insurance\"/>
    </mc:Choice>
  </mc:AlternateContent>
  <xr:revisionPtr revIDLastSave="0" documentId="13_ncr:1_{1B9BC507-E465-4658-92E0-1DC4BE47A1F1}" xr6:coauthVersionLast="47" xr6:coauthVersionMax="47" xr10:uidLastSave="{00000000-0000-0000-0000-000000000000}"/>
  <bookViews>
    <workbookView xWindow="-120" yWindow="-120" windowWidth="38640" windowHeight="21120" activeTab="1" xr2:uid="{74C982A1-EE30-4588-AA95-0E58E4E415F0}"/>
  </bookViews>
  <sheets>
    <sheet name="Main" sheetId="1" r:id="rId1"/>
    <sheet name="Model" sheetId="2" r:id="rId2"/>
    <sheet name="Debt, Investments" sheetId="9" r:id="rId3"/>
    <sheet name="Peer Comparisons" sheetId="8" r:id="rId4"/>
    <sheet name="More Notes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2" l="1"/>
  <c r="H14" i="2"/>
  <c r="O14" i="2"/>
  <c r="N14" i="2"/>
  <c r="AC26" i="2"/>
  <c r="AI33" i="2"/>
  <c r="D14" i="2"/>
  <c r="E14" i="2"/>
  <c r="F14" i="2"/>
  <c r="G14" i="2"/>
  <c r="I14" i="2"/>
  <c r="J14" i="2"/>
  <c r="K14" i="2"/>
  <c r="L14" i="2"/>
  <c r="M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I8" i="2" l="1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D29" i="2" l="1"/>
  <c r="E29" i="2"/>
  <c r="D26" i="2"/>
  <c r="U26" i="2"/>
  <c r="AL26" i="2"/>
  <c r="E42" i="2"/>
  <c r="F42" i="2"/>
  <c r="G42" i="2"/>
  <c r="H42" i="2"/>
  <c r="I42" i="2"/>
  <c r="J42" i="2"/>
  <c r="K42" i="2"/>
  <c r="L42" i="2"/>
  <c r="M42" i="2"/>
  <c r="N42" i="2"/>
  <c r="O42" i="2"/>
  <c r="P42" i="2"/>
  <c r="F29" i="2"/>
  <c r="G29" i="2"/>
  <c r="H29" i="2"/>
  <c r="I29" i="2"/>
  <c r="J29" i="2"/>
  <c r="K29" i="2"/>
  <c r="L29" i="2"/>
  <c r="M29" i="2"/>
  <c r="N29" i="2"/>
  <c r="O29" i="2"/>
  <c r="P29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V26" i="2"/>
  <c r="W26" i="2"/>
  <c r="X26" i="2"/>
  <c r="Y26" i="2"/>
  <c r="Z26" i="2"/>
  <c r="AA26" i="2"/>
  <c r="AB26" i="2"/>
  <c r="AD26" i="2"/>
  <c r="AE26" i="2"/>
  <c r="AF26" i="2"/>
  <c r="AG26" i="2"/>
  <c r="AI26" i="2"/>
  <c r="AJ20" i="2"/>
  <c r="AJ26" i="2" s="1"/>
  <c r="AK20" i="2"/>
  <c r="AK26" i="2" s="1"/>
  <c r="F26" i="2"/>
  <c r="E26" i="2"/>
  <c r="B6" i="1"/>
  <c r="AJ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I29" i="2"/>
  <c r="AJ29" i="2"/>
  <c r="AK29" i="2"/>
  <c r="AL29" i="2"/>
  <c r="Q29" i="2"/>
  <c r="R29" i="2"/>
  <c r="S29" i="2"/>
  <c r="T29" i="2"/>
  <c r="U29" i="2"/>
  <c r="V29" i="2"/>
  <c r="AD29" i="2"/>
  <c r="AH29" i="2"/>
  <c r="AH26" i="2" l="1"/>
  <c r="AI34" i="2"/>
  <c r="H44" i="2"/>
  <c r="G44" i="2"/>
  <c r="G33" i="2"/>
  <c r="E34" i="2"/>
  <c r="D34" i="2"/>
  <c r="H33" i="2"/>
  <c r="AH44" i="2"/>
  <c r="M33" i="2"/>
  <c r="S33" i="2"/>
  <c r="T33" i="2"/>
  <c r="Q34" i="2"/>
  <c r="O34" i="2"/>
  <c r="AH34" i="2"/>
  <c r="P34" i="2"/>
  <c r="G34" i="2"/>
  <c r="F34" i="2"/>
  <c r="R34" i="2"/>
  <c r="N34" i="2"/>
  <c r="L33" i="2"/>
  <c r="P44" i="2"/>
  <c r="J34" i="2"/>
  <c r="O44" i="2"/>
  <c r="N44" i="2"/>
  <c r="M44" i="2"/>
  <c r="K44" i="2"/>
  <c r="T44" i="2"/>
  <c r="I44" i="2"/>
  <c r="L44" i="2"/>
  <c r="S44" i="2"/>
  <c r="R44" i="2"/>
  <c r="J44" i="2"/>
  <c r="Q44" i="2"/>
  <c r="J33" i="2"/>
  <c r="I33" i="2"/>
  <c r="K33" i="2"/>
  <c r="Z33" i="2"/>
  <c r="H34" i="2"/>
  <c r="M34" i="2"/>
  <c r="K34" i="2"/>
  <c r="L34" i="2"/>
  <c r="P33" i="2"/>
  <c r="Q33" i="2"/>
  <c r="N33" i="2"/>
  <c r="AG33" i="2"/>
  <c r="O33" i="2"/>
  <c r="R33" i="2"/>
  <c r="I34" i="2"/>
  <c r="Y33" i="2"/>
  <c r="U33" i="2"/>
  <c r="W34" i="2"/>
  <c r="X33" i="2"/>
  <c r="W33" i="2"/>
  <c r="U34" i="2"/>
  <c r="T34" i="2"/>
  <c r="AH33" i="2"/>
  <c r="V34" i="2"/>
  <c r="V33" i="2"/>
  <c r="S34" i="2"/>
  <c r="W44" i="2"/>
  <c r="V44" i="2"/>
  <c r="X44" i="2"/>
  <c r="U44" i="2"/>
  <c r="Z44" i="2"/>
  <c r="Y44" i="2"/>
  <c r="W29" i="2"/>
  <c r="X29" i="2"/>
  <c r="Y29" i="2"/>
  <c r="Z29" i="2"/>
  <c r="AA29" i="2"/>
  <c r="AB29" i="2"/>
  <c r="AC29" i="2"/>
  <c r="AE29" i="2"/>
  <c r="AF29" i="2"/>
  <c r="AG29" i="2"/>
  <c r="AC33" i="2" l="1"/>
  <c r="AE34" i="2"/>
  <c r="AG34" i="2"/>
  <c r="X34" i="2"/>
  <c r="Y34" i="2"/>
  <c r="Z34" i="2"/>
  <c r="AA34" i="2"/>
  <c r="AB34" i="2"/>
  <c r="AC34" i="2"/>
  <c r="AD34" i="2"/>
  <c r="AF34" i="2"/>
  <c r="AG44" i="2"/>
  <c r="AA33" i="2"/>
  <c r="AB33" i="2"/>
  <c r="AD33" i="2"/>
  <c r="AE33" i="2"/>
  <c r="AF33" i="2"/>
  <c r="AF44" i="2" l="1"/>
  <c r="AD44" i="2"/>
  <c r="AA44" i="2"/>
  <c r="AB44" i="2"/>
  <c r="AC44" i="2"/>
  <c r="AE44" i="2"/>
  <c r="B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Quach</author>
  </authors>
  <commentList>
    <comment ref="A8" authorId="0" shapeId="0" xr:uid="{9BF3E320-2C8B-452E-893D-8D9DA8F99FD7}">
      <text>
        <r>
          <rPr>
            <b/>
            <sz val="9"/>
            <color indexed="81"/>
            <rFont val="Tahoma"/>
            <family val="2"/>
          </rPr>
          <t>Alex Quach:</t>
        </r>
        <r>
          <rPr>
            <sz val="9"/>
            <color indexed="81"/>
            <rFont val="Tahoma"/>
            <family val="2"/>
          </rPr>
          <t xml:space="preserve">
Long Term Debt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</author>
  </authors>
  <commentList>
    <comment ref="X25" authorId="0" shapeId="0" xr:uid="{7438D5D3-18AB-4EA8-9D8E-1995C275A1E1}">
      <text>
        <r>
          <rPr>
            <b/>
            <sz val="9"/>
            <color indexed="81"/>
            <rFont val="Tahoma"/>
            <family val="2"/>
          </rPr>
          <t>Alex:</t>
        </r>
        <r>
          <rPr>
            <sz val="9"/>
            <color indexed="81"/>
            <rFont val="Tahoma"/>
            <family val="2"/>
          </rPr>
          <t xml:space="preserve">
Impairment</t>
        </r>
      </text>
    </comment>
  </commentList>
</comments>
</file>

<file path=xl/sharedStrings.xml><?xml version="1.0" encoding="utf-8"?>
<sst xmlns="http://schemas.openxmlformats.org/spreadsheetml/2006/main" count="260" uniqueCount="220">
  <si>
    <t>Price</t>
  </si>
  <si>
    <t>Symbol:</t>
  </si>
  <si>
    <t>Shares Outstanding</t>
  </si>
  <si>
    <t>Market Cap</t>
  </si>
  <si>
    <t>Debt</t>
  </si>
  <si>
    <t>Q12025</t>
  </si>
  <si>
    <t>(In Millions)</t>
  </si>
  <si>
    <t>Enterprise Value</t>
  </si>
  <si>
    <t>Main</t>
  </si>
  <si>
    <t>Revenue</t>
  </si>
  <si>
    <t>Operating Income</t>
  </si>
  <si>
    <t>Net Income</t>
  </si>
  <si>
    <t>FCF</t>
  </si>
  <si>
    <t>Q32022</t>
  </si>
  <si>
    <t>Q42022</t>
  </si>
  <si>
    <t>Q12023</t>
  </si>
  <si>
    <t>Q22023</t>
  </si>
  <si>
    <t>Q32023</t>
  </si>
  <si>
    <t>Q42023</t>
  </si>
  <si>
    <t>Q12024</t>
  </si>
  <si>
    <t>Q22024</t>
  </si>
  <si>
    <t>Q32024</t>
  </si>
  <si>
    <t>Q42024</t>
  </si>
  <si>
    <t>Capital Expendature</t>
  </si>
  <si>
    <t>Cash Flow from Operations</t>
  </si>
  <si>
    <t>Book Value</t>
  </si>
  <si>
    <t>Q22025</t>
  </si>
  <si>
    <t>Q32025</t>
  </si>
  <si>
    <t>Q42025</t>
  </si>
  <si>
    <t>Cash Per Share</t>
  </si>
  <si>
    <t>Q12026</t>
  </si>
  <si>
    <t>Diluted EPS</t>
  </si>
  <si>
    <t>Cash Flow Growth</t>
  </si>
  <si>
    <t>Guidance</t>
  </si>
  <si>
    <t>(IN MILLIONS)</t>
  </si>
  <si>
    <t>Events</t>
  </si>
  <si>
    <t>Revenue Growth YOY Q</t>
  </si>
  <si>
    <t>Revenue Growth last Q</t>
  </si>
  <si>
    <t>Income Before taxes</t>
  </si>
  <si>
    <t>Tax</t>
  </si>
  <si>
    <t>N/A</t>
  </si>
  <si>
    <t>Q12022</t>
  </si>
  <si>
    <t>Q22022</t>
  </si>
  <si>
    <t>P/Sales</t>
  </si>
  <si>
    <t>P/Book</t>
  </si>
  <si>
    <t>EV/EBITDA</t>
  </si>
  <si>
    <t>EV/R</t>
  </si>
  <si>
    <t>Trl P/E</t>
  </si>
  <si>
    <t>Fwd P/E</t>
  </si>
  <si>
    <t>Q42021</t>
  </si>
  <si>
    <t>Q12021</t>
  </si>
  <si>
    <t>Q22021</t>
  </si>
  <si>
    <t>Q32021</t>
  </si>
  <si>
    <t xml:space="preserve">EBITDA </t>
  </si>
  <si>
    <t>Diluted EPS TTM</t>
  </si>
  <si>
    <t>Q42020</t>
  </si>
  <si>
    <t>Q32020</t>
  </si>
  <si>
    <t>Q22020</t>
  </si>
  <si>
    <t>Q12020</t>
  </si>
  <si>
    <t>Q32019</t>
  </si>
  <si>
    <t>Q22019</t>
  </si>
  <si>
    <t>Q12019</t>
  </si>
  <si>
    <t>Q12018</t>
  </si>
  <si>
    <t>Q22018</t>
  </si>
  <si>
    <t>Q32018</t>
  </si>
  <si>
    <t>Q42018</t>
  </si>
  <si>
    <t>Medical Costs</t>
  </si>
  <si>
    <t>Depreciation &amp; Amortization</t>
  </si>
  <si>
    <t>Medicaid</t>
  </si>
  <si>
    <t>Other</t>
  </si>
  <si>
    <t>Q42019</t>
  </si>
  <si>
    <t>Q42017</t>
  </si>
  <si>
    <t>MOH - Molina Healthcare Inc.</t>
  </si>
  <si>
    <t>Company</t>
  </si>
  <si>
    <t>Ticker</t>
  </si>
  <si>
    <t>Revenue TTM ($B)</t>
  </si>
  <si>
    <t>EBITDA TTM ($B)</t>
  </si>
  <si>
    <t>Diluted EPS TTM ($)</t>
  </si>
  <si>
    <t>Trailing P/E</t>
  </si>
  <si>
    <t>Forward P/E</t>
  </si>
  <si>
    <t>Price/Sales</t>
  </si>
  <si>
    <t>Price/Book</t>
  </si>
  <si>
    <t>EV/Revenue</t>
  </si>
  <si>
    <t>Molina Healthcare</t>
  </si>
  <si>
    <t>MOH</t>
  </si>
  <si>
    <t>0.16 (StockAnalysis)</t>
  </si>
  <si>
    <t>UnitedHealth Group</t>
  </si>
  <si>
    <t>UNH</t>
  </si>
  <si>
    <t>0.77 (StockAnalysis)</t>
  </si>
  <si>
    <t>Humana</t>
  </si>
  <si>
    <t>HUM</t>
  </si>
  <si>
    <t>0.28 (StockAnalysis)</t>
  </si>
  <si>
    <t>CNC</t>
  </si>
  <si>
    <t>0.11 (StockAnalysis)</t>
  </si>
  <si>
    <t>The Cigna Group</t>
  </si>
  <si>
    <t>CI</t>
  </si>
  <si>
    <t>0.37 (StockAnalysis)</t>
  </si>
  <si>
    <t>Elevance Health</t>
  </si>
  <si>
    <t>ELV</t>
  </si>
  <si>
    <t>0.49 (StockAnalysis)</t>
  </si>
  <si>
    <t>Centene (Medicaid-heavy)</t>
  </si>
  <si>
    <t>N/M (loss-making)</t>
  </si>
  <si>
    <t>Debt Summary</t>
  </si>
  <si>
    <t>4.375% 2028 Notes</t>
  </si>
  <si>
    <t>3.875% 2030 Notes</t>
  </si>
  <si>
    <t>3.875% 2032 Notes</t>
  </si>
  <si>
    <t>6.250 2033 Notes</t>
  </si>
  <si>
    <t>Term Loans A-1 A-2 (2027)</t>
  </si>
  <si>
    <t>Total</t>
  </si>
  <si>
    <r>
      <rPr>
        <i/>
        <sz val="11"/>
        <color theme="1"/>
        <rFont val="Arial"/>
        <family val="2"/>
      </rPr>
      <t xml:space="preserve">New (11/17/2025) </t>
    </r>
    <r>
      <rPr>
        <sz val="11"/>
        <color theme="1"/>
        <rFont val="Arial"/>
        <family val="2"/>
      </rPr>
      <t>6.5% 2031 Notes</t>
    </r>
  </si>
  <si>
    <t>Revolver</t>
  </si>
  <si>
    <t>Will be used to pay the term loans off</t>
  </si>
  <si>
    <t>Total Operating Lease Liabilities</t>
  </si>
  <si>
    <t>Finance Lease Liabilities</t>
  </si>
  <si>
    <t>Cash + Investments</t>
  </si>
  <si>
    <t xml:space="preserve">Just cash </t>
  </si>
  <si>
    <t>Medicare</t>
  </si>
  <si>
    <t>Marketplace</t>
  </si>
  <si>
    <t>G&amp;A</t>
  </si>
  <si>
    <t>Premium Tax Expenses</t>
  </si>
  <si>
    <t>GAAP After Tax Margin</t>
  </si>
  <si>
    <t>Adjusted After Tax Margin</t>
  </si>
  <si>
    <t>Membership by Segment</t>
  </si>
  <si>
    <t>Notes</t>
  </si>
  <si>
    <t>Under the Afordable Care Act and State Rules, there is a minimum MLR.  (Usually around 80-85% of a premium needs to be spent on medical care)</t>
  </si>
  <si>
    <t>If an insurer's MLR is too low, they may have to rebate money back to customers</t>
  </si>
  <si>
    <t>Goldilocks zone is usually, high enough to avoid rebates and political heat, and low enough to preserve a decent margin</t>
  </si>
  <si>
    <t>ex. If MLR = 88%, it means 88 cents of every premium dollar is spent on medical care, 12 cents on admin + profit.</t>
  </si>
  <si>
    <t>Centene</t>
  </si>
  <si>
    <t>MCR</t>
  </si>
  <si>
    <t>Total Premium Revenue</t>
  </si>
  <si>
    <t>Diluted Weighted Average Shares</t>
  </si>
  <si>
    <t>Q3 2025 revenue base used ($B)</t>
  </si>
  <si>
    <t>Metric name</t>
  </si>
  <si>
    <t>Q3 2025 MCR/MLR</t>
  </si>
  <si>
    <r>
      <t>$10.8B</t>
    </r>
    <r>
      <rPr>
        <sz val="11"/>
        <color theme="1"/>
        <rFont val="Aptos Narrow"/>
        <family val="2"/>
        <scheme val="minor"/>
      </rPr>
      <t xml:space="preserve"> premium revenue (≈$11.5B total revenue)</t>
    </r>
  </si>
  <si>
    <t>Medical Care Ratio</t>
  </si>
  <si>
    <t>92.6% (Molina Healthcare Investors)</t>
  </si>
  <si>
    <t>$113.2B total revenue Q3 (Becker's Payer Issues | Payer News)</t>
  </si>
  <si>
    <t>89.9% (UnitedHealth Group)</t>
  </si>
  <si>
    <t>$32.65B total revenue Q3 (Becker's Payer Issues | Payer News)</t>
  </si>
  <si>
    <t>Insurance segment benefit / MLR</t>
  </si>
  <si>
    <t>91.1% (Humana Health Policy Center)</t>
  </si>
  <si>
    <t>$49.7B total revenue Q3 (Investor Relations | Centene Corporation)</t>
  </si>
  <si>
    <t>Health Benefits Ratio</t>
  </si>
  <si>
    <t>92.7% (Investor Relations | Centene Corporation)</t>
  </si>
  <si>
    <t>$69.75B total revenues Q3 (69,748m) (The Cigna Group Newsroom)</t>
  </si>
  <si>
    <t>Cigna Healthcare Medical Care Ratio</t>
  </si>
  <si>
    <t>$ impact of +100 bps MCR (annualized)*</t>
  </si>
  <si>
    <r>
      <t>≈$0.43B / $432M</t>
    </r>
    <r>
      <rPr>
        <sz val="11"/>
        <color theme="1"/>
        <rFont val="Aptos Narrow"/>
        <family val="2"/>
        <scheme val="minor"/>
      </rPr>
      <t xml:space="preserve"> (1% of ≈$43.2B annualized premiums)</t>
    </r>
  </si>
  <si>
    <r>
      <t>≈$4.53B</t>
    </r>
    <r>
      <rPr>
        <sz val="11"/>
        <color theme="1"/>
        <rFont val="Aptos Narrow"/>
        <family val="2"/>
        <scheme val="minor"/>
      </rPr>
      <t xml:space="preserve"> (1% of ≈$452.8B annualized)</t>
    </r>
  </si>
  <si>
    <r>
      <t>≈$1.31B</t>
    </r>
    <r>
      <rPr>
        <sz val="11"/>
        <color theme="1"/>
        <rFont val="Aptos Narrow"/>
        <family val="2"/>
        <scheme val="minor"/>
      </rPr>
      <t xml:space="preserve"> (1% of ≈$130.6B annualized)</t>
    </r>
  </si>
  <si>
    <r>
      <t>≈$1.99B</t>
    </r>
    <r>
      <rPr>
        <sz val="11"/>
        <color theme="1"/>
        <rFont val="Aptos Narrow"/>
        <family val="2"/>
        <scheme val="minor"/>
      </rPr>
      <t xml:space="preserve"> (1% of ≈$198.8B annualized)</t>
    </r>
  </si>
  <si>
    <r>
      <t>≈$2.79B</t>
    </r>
    <r>
      <rPr>
        <sz val="11"/>
        <color theme="1"/>
        <rFont val="Aptos Narrow"/>
        <family val="2"/>
        <scheme val="minor"/>
      </rPr>
      <t xml:space="preserve"> (1% of ≈$279.0B annualized)</t>
    </r>
  </si>
  <si>
    <r>
      <t>$50.1B</t>
    </r>
    <r>
      <rPr>
        <sz val="11"/>
        <color theme="1"/>
        <rFont val="Aptos Narrow"/>
        <family val="2"/>
        <scheme val="minor"/>
      </rPr>
      <t xml:space="preserve"> operating revenue Q3</t>
    </r>
  </si>
  <si>
    <t>Benefit expense ratio / MLR</t>
  </si>
  <si>
    <r>
      <t>≈$2.00B</t>
    </r>
    <r>
      <rPr>
        <sz val="11"/>
        <color theme="1"/>
        <rFont val="Aptos Narrow"/>
        <family val="2"/>
        <scheme val="minor"/>
      </rPr>
      <t xml:space="preserve"> (1% of ≈$200.4B annualized)</t>
    </r>
  </si>
  <si>
    <t>91.3% (www.elevancehealth.com)</t>
  </si>
  <si>
    <t xml:space="preserve">Raised FY Premium Revenue Guidance to 42.5 Billion </t>
  </si>
  <si>
    <t>FY Adjusted earnings 14.00 per diluted share</t>
  </si>
  <si>
    <t>We continue to grow, we believe the margin challenges will not persist, and we are encouraged by the margin improvement potential in 2026.”</t>
  </si>
  <si>
    <t>GAAP EPS 11.90</t>
  </si>
  <si>
    <t>91.3% MCR</t>
  </si>
  <si>
    <t>91.5% Medicaid, 91.3% Medicare, 89.7% Marketplace</t>
  </si>
  <si>
    <t>$1 Billion Common stock buy back</t>
  </si>
  <si>
    <t>ACA marketplace underpricing + sicker enrollment (ACA is only 10% of revenue but drove about half of earnings deterioration)</t>
  </si>
  <si>
    <t>CEO actively downsizing ACA exposure</t>
  </si>
  <si>
    <t>Pricing lag - Can't fix a 2025 cost problem until the next (2026) rate cycle</t>
  </si>
  <si>
    <t>This means that the MCR moves now but the pricing and contract catchup doesn’t show until 2026</t>
  </si>
  <si>
    <t xml:space="preserve">Industry wide issue in 2025 </t>
  </si>
  <si>
    <t>e.g UNH medical cost trend was expected 5% now tracking closer to 7.5%</t>
  </si>
  <si>
    <t>Centene up to 92-93%</t>
  </si>
  <si>
    <t>Elevance elevated as well but has bigger commercial book</t>
  </si>
  <si>
    <t>1. Higher premiums / capitation rates</t>
  </si>
  <si>
    <t>2. Product mix changes</t>
  </si>
  <si>
    <t>3. Utilization reversion</t>
  </si>
  <si>
    <t>4. Management behavior</t>
  </si>
  <si>
    <t>2025–26 capital-markets pressure (earnings cuts, stock selloffs, rating-agency noise) tends to force plans to:</t>
  </si>
  <si>
    <t>Tighten underwriting</t>
  </si>
  <si>
    <t>That alone can be worth a couple of MCR points over a 1–2 year horizon.</t>
  </si>
  <si>
    <t>For MOH</t>
  </si>
  <si>
    <t>2027+:</t>
  </si>
  <si>
    <t>So in a simple sentence for your thesis:</t>
  </si>
  <si>
    <t>For the broader industry</t>
  </si>
  <si>
    <t>CNC / HUM / other government-heavy names:</t>
  </si>
  <si>
    <r>
      <t xml:space="preserve">For MOH and other managed-care names, normalization mostly comes from </t>
    </r>
    <r>
      <rPr>
        <b/>
        <sz val="13"/>
        <color theme="1"/>
        <rFont val="Arial"/>
        <family val="2"/>
      </rPr>
      <t>pricing and benefit actions catching up to medical trend</t>
    </r>
    <r>
      <rPr>
        <sz val="13"/>
        <color theme="1"/>
        <rFont val="Arial"/>
        <family val="2"/>
      </rPr>
      <t xml:space="preserve">, plus some </t>
    </r>
    <r>
      <rPr>
        <b/>
        <sz val="13"/>
        <color theme="1"/>
        <rFont val="Arial"/>
        <family val="2"/>
      </rPr>
      <t>behavioral fade</t>
    </r>
    <r>
      <rPr>
        <sz val="13"/>
        <color theme="1"/>
        <rFont val="Arial"/>
        <family val="2"/>
      </rPr>
      <t xml:space="preserve"> in utilization:</t>
    </r>
  </si>
  <si>
    <r>
      <t>Medicaid</t>
    </r>
    <r>
      <rPr>
        <sz val="13"/>
        <color theme="1"/>
        <rFont val="Arial"/>
        <family val="2"/>
      </rPr>
      <t xml:space="preserve">: States re-bid or re-rate contracts. Plans push for </t>
    </r>
    <r>
      <rPr>
        <b/>
        <sz val="13"/>
        <color theme="1"/>
        <rFont val="Arial"/>
        <family val="2"/>
      </rPr>
      <t>higher capitation rates</t>
    </r>
    <r>
      <rPr>
        <sz val="13"/>
        <color theme="1"/>
        <rFont val="Arial"/>
        <family val="2"/>
      </rPr>
      <t xml:space="preserve"> reflecting 2024–25 trend (inpatient, outpatient, behavioral, home health, high-cost drugs). You often see a </t>
    </r>
    <r>
      <rPr>
        <b/>
        <sz val="13"/>
        <color theme="1"/>
        <rFont val="Arial"/>
        <family val="2"/>
      </rPr>
      <t>1–3 point improvement in MCR</t>
    </r>
    <r>
      <rPr>
        <sz val="13"/>
        <color theme="1"/>
        <rFont val="Arial"/>
        <family val="2"/>
      </rPr>
      <t xml:space="preserve"> when a big rate reset hits.</t>
    </r>
  </si>
  <si>
    <r>
      <t>ACA Marketplace</t>
    </r>
    <r>
      <rPr>
        <sz val="13"/>
        <color theme="1"/>
        <rFont val="Arial"/>
        <family val="2"/>
      </rPr>
      <t xml:space="preserve">: Carriers file </t>
    </r>
    <r>
      <rPr>
        <b/>
        <sz val="13"/>
        <color theme="1"/>
        <rFont val="Arial"/>
        <family val="2"/>
      </rPr>
      <t>meaningfully higher 2026 rates</t>
    </r>
    <r>
      <rPr>
        <sz val="13"/>
        <color theme="1"/>
        <rFont val="Arial"/>
        <family val="2"/>
      </rPr>
      <t xml:space="preserve">, reduce benefits, narrow networks, or exit unprofitable counties/products. That turns a mid-90s MLR block into something closer to </t>
    </r>
    <r>
      <rPr>
        <b/>
        <sz val="13"/>
        <color theme="1"/>
        <rFont val="Arial"/>
        <family val="2"/>
      </rPr>
      <t>low-90s or high-80s</t>
    </r>
    <r>
      <rPr>
        <sz val="13"/>
        <color theme="1"/>
        <rFont val="Arial"/>
        <family val="2"/>
      </rPr>
      <t xml:space="preserve"> on new filings.</t>
    </r>
  </si>
  <si>
    <r>
      <t>Medicare Advantage</t>
    </r>
    <r>
      <rPr>
        <sz val="13"/>
        <color theme="1"/>
        <rFont val="Arial"/>
        <family val="2"/>
      </rPr>
      <t xml:space="preserve">: MA plans react to high 2024–25 utilization with </t>
    </r>
    <r>
      <rPr>
        <b/>
        <sz val="13"/>
        <color theme="1"/>
        <rFont val="Arial"/>
        <family val="2"/>
      </rPr>
      <t>benefit cuts, premium increases, tighter authorizations</t>
    </r>
    <r>
      <rPr>
        <sz val="13"/>
        <color theme="1"/>
        <rFont val="Arial"/>
        <family val="2"/>
      </rPr>
      <t>, and network moves in subsequent plan years.</t>
    </r>
  </si>
  <si>
    <r>
      <t xml:space="preserve">MOH is already talking about </t>
    </r>
    <r>
      <rPr>
        <b/>
        <sz val="13"/>
        <color theme="1"/>
        <rFont val="Arial"/>
        <family val="2"/>
      </rPr>
      <t>shrinking its ACA footprint</t>
    </r>
    <r>
      <rPr>
        <sz val="13"/>
        <color theme="1"/>
        <rFont val="Arial"/>
        <family val="2"/>
      </rPr>
      <t xml:space="preserve"> and focusing on markets it can price rationally.</t>
    </r>
  </si>
  <si>
    <r>
      <t xml:space="preserve">Industry-wide, you’ll see exits from </t>
    </r>
    <r>
      <rPr>
        <b/>
        <sz val="13"/>
        <color theme="1"/>
        <rFont val="Arial"/>
        <family val="2"/>
      </rPr>
      <t>unprofitable ACA counties</t>
    </r>
    <r>
      <rPr>
        <sz val="13"/>
        <color theme="1"/>
        <rFont val="Arial"/>
        <family val="2"/>
      </rPr>
      <t xml:space="preserve"> and </t>
    </r>
    <r>
      <rPr>
        <b/>
        <sz val="13"/>
        <color theme="1"/>
        <rFont val="Arial"/>
        <family val="2"/>
      </rPr>
      <t>non-core Medicare plans</t>
    </r>
    <r>
      <rPr>
        <sz val="13"/>
        <color theme="1"/>
        <rFont val="Arial"/>
        <family val="2"/>
      </rPr>
      <t>, which mechanically lifts the consolidated MCR.</t>
    </r>
  </si>
  <si>
    <r>
      <t xml:space="preserve">Some of the spike is a </t>
    </r>
    <r>
      <rPr>
        <b/>
        <sz val="13"/>
        <color theme="1"/>
        <rFont val="Arial"/>
        <family val="2"/>
      </rPr>
      <t>level shift</t>
    </r>
    <r>
      <rPr>
        <sz val="13"/>
        <color theme="1"/>
        <rFont val="Arial"/>
        <family val="2"/>
      </rPr>
      <t xml:space="preserve"> (higher baseline chronic-care and GLP-1 use), but some is </t>
    </r>
    <r>
      <rPr>
        <b/>
        <sz val="13"/>
        <color theme="1"/>
        <rFont val="Arial"/>
        <family val="2"/>
      </rPr>
      <t>pent-up demand</t>
    </r>
    <r>
      <rPr>
        <sz val="13"/>
        <color theme="1"/>
        <rFont val="Arial"/>
        <family val="2"/>
      </rPr>
      <t xml:space="preserve"> and catch-up from earlier under-utilization.</t>
    </r>
  </si>
  <si>
    <r>
      <t xml:space="preserve">As the system works through deferred care, you usually get </t>
    </r>
    <r>
      <rPr>
        <b/>
        <sz val="13"/>
        <color theme="1"/>
        <rFont val="Arial"/>
        <family val="2"/>
      </rPr>
      <t>slower growth in utilization</t>
    </r>
    <r>
      <rPr>
        <sz val="13"/>
        <color theme="1"/>
        <rFont val="Arial"/>
        <family val="2"/>
      </rPr>
      <t xml:space="preserve"> after the spike, so even if the absolute level is higher, </t>
    </r>
    <r>
      <rPr>
        <b/>
        <sz val="13"/>
        <color theme="1"/>
        <rFont val="Arial"/>
        <family val="2"/>
      </rPr>
      <t>trend vs. price</t>
    </r>
    <r>
      <rPr>
        <sz val="13"/>
        <color theme="1"/>
        <rFont val="Arial"/>
        <family val="2"/>
      </rPr>
      <t xml:space="preserve"> looks better.</t>
    </r>
  </si>
  <si>
    <r>
      <t xml:space="preserve">Get more aggressive on </t>
    </r>
    <r>
      <rPr>
        <b/>
        <sz val="13"/>
        <color theme="1"/>
        <rFont val="Arial"/>
        <family val="2"/>
      </rPr>
      <t>rate filings and lobbying</t>
    </r>
  </si>
  <si>
    <r>
      <t xml:space="preserve">Pull back on </t>
    </r>
    <r>
      <rPr>
        <b/>
        <sz val="13"/>
        <color theme="1"/>
        <rFont val="Arial"/>
        <family val="2"/>
      </rPr>
      <t>“growth for growth’s sake”</t>
    </r>
    <r>
      <rPr>
        <sz val="13"/>
        <color theme="1"/>
        <rFont val="Arial"/>
        <family val="2"/>
      </rPr>
      <t xml:space="preserve"> in ACA and some Medicaid RFPs</t>
    </r>
  </si>
  <si>
    <r>
      <t>2025:</t>
    </r>
    <r>
      <rPr>
        <sz val="13"/>
        <color theme="1"/>
        <rFont val="Arial"/>
        <family val="2"/>
      </rPr>
      <t xml:space="preserve"> High-92s consolidated MCR (you already know the exact range). Ugly, compressed margins.</t>
    </r>
  </si>
  <si>
    <r>
      <t xml:space="preserve">ACA repricing + footprint shrink + Medicaid rate actions should </t>
    </r>
    <r>
      <rPr>
        <b/>
        <sz val="13"/>
        <color theme="1"/>
        <rFont val="Arial"/>
        <family val="2"/>
      </rPr>
      <t>knock a few hundred basis points off the worst blocks</t>
    </r>
    <r>
      <rPr>
        <sz val="13"/>
        <color theme="1"/>
        <rFont val="Arial"/>
        <family val="2"/>
      </rPr>
      <t>.</t>
    </r>
  </si>
  <si>
    <r>
      <t xml:space="preserve">On a consolidated basis, it’s realistic to expect </t>
    </r>
    <r>
      <rPr>
        <b/>
        <sz val="13"/>
        <color theme="1"/>
        <rFont val="Arial"/>
        <family val="2"/>
      </rPr>
      <t>MCR improvement of ~100–200 bps</t>
    </r>
    <r>
      <rPr>
        <sz val="13"/>
        <color theme="1"/>
        <rFont val="Arial"/>
        <family val="2"/>
      </rPr>
      <t xml:space="preserve"> if management executes (e.g., from ~92–93% down to ~90–91%).</t>
    </r>
  </si>
  <si>
    <r>
      <t xml:space="preserve">A “new normal” probably looks like </t>
    </r>
    <r>
      <rPr>
        <b/>
        <sz val="13"/>
        <color theme="1"/>
        <rFont val="Arial"/>
        <family val="2"/>
      </rPr>
      <t>high-80s to very low-90s</t>
    </r>
    <r>
      <rPr>
        <sz val="13"/>
        <color theme="1"/>
        <rFont val="Arial"/>
        <family val="2"/>
      </rPr>
      <t xml:space="preserve"> consolidated MCR depending on mix (more MA/ACA = higher; more Medicaid with good rates = lower).</t>
    </r>
  </si>
  <si>
    <r>
      <t xml:space="preserve">I would </t>
    </r>
    <r>
      <rPr>
        <i/>
        <sz val="13"/>
        <color theme="1"/>
        <rFont val="Arial"/>
        <family val="2"/>
      </rPr>
      <t>not</t>
    </r>
    <r>
      <rPr>
        <sz val="13"/>
        <color theme="1"/>
        <rFont val="Arial"/>
        <family val="2"/>
      </rPr>
      <t xml:space="preserve"> underwrite a full return to the absolute best years, because GLP-1s, specialty drugs, and higher baseline utilization are likely here to stay.</t>
    </r>
  </si>
  <si>
    <r>
      <t xml:space="preserve">“I expect Molina’s MCR to improve by roughly </t>
    </r>
    <r>
      <rPr>
        <b/>
        <sz val="13"/>
        <color theme="1"/>
        <rFont val="Arial"/>
        <family val="2"/>
      </rPr>
      <t>1–2 points over the next 12–24 months</t>
    </r>
    <r>
      <rPr>
        <sz val="13"/>
        <color theme="1"/>
        <rFont val="Arial"/>
        <family val="2"/>
      </rPr>
      <t xml:space="preserve"> as pricing and product actions catch up to medical trend, but to settle into a ‘new normal’ still </t>
    </r>
    <r>
      <rPr>
        <b/>
        <sz val="13"/>
        <color theme="1"/>
        <rFont val="Arial"/>
        <family val="2"/>
      </rPr>
      <t>slightly worse than pre-spike levels</t>
    </r>
    <r>
      <rPr>
        <sz val="13"/>
        <color theme="1"/>
        <rFont val="Arial"/>
        <family val="2"/>
      </rPr>
      <t xml:space="preserve"> because high-cost drugs and elevated utilization don’t fully go away.”</t>
    </r>
  </si>
  <si>
    <r>
      <t>UNH / ELV / CI:</t>
    </r>
    <r>
      <rPr>
        <sz val="13"/>
        <color theme="1"/>
        <rFont val="Arial"/>
        <family val="2"/>
      </rPr>
      <t xml:space="preserve"> More diversified, more levers:</t>
    </r>
  </si>
  <si>
    <r>
      <t xml:space="preserve">They’ll use </t>
    </r>
    <r>
      <rPr>
        <b/>
        <sz val="13"/>
        <color theme="1"/>
        <rFont val="Arial"/>
        <family val="2"/>
      </rPr>
      <t>benefit cuts, premium tweaks, and network management</t>
    </r>
    <r>
      <rPr>
        <sz val="13"/>
        <color theme="1"/>
        <rFont val="Arial"/>
        <family val="2"/>
      </rPr>
      <t xml:space="preserve"> to pull MA and commercial MCRs back towards their </t>
    </r>
    <r>
      <rPr>
        <b/>
        <sz val="13"/>
        <color theme="1"/>
        <rFont val="Arial"/>
        <family val="2"/>
      </rPr>
      <t>historic target ranges</t>
    </r>
    <r>
      <rPr>
        <sz val="13"/>
        <color theme="1"/>
        <rFont val="Arial"/>
        <family val="2"/>
      </rPr>
      <t>.</t>
    </r>
  </si>
  <si>
    <r>
      <t xml:space="preserve">Expect </t>
    </r>
    <r>
      <rPr>
        <b/>
        <sz val="13"/>
        <color theme="1"/>
        <rFont val="Arial"/>
        <family val="2"/>
      </rPr>
      <t>incremental improvement of 50–150 bps</t>
    </r>
    <r>
      <rPr>
        <sz val="13"/>
        <color theme="1"/>
        <rFont val="Arial"/>
        <family val="2"/>
      </rPr>
      <t xml:space="preserve"> over 2026–27, but with a higher “floor” than pre-COVID.</t>
    </r>
  </si>
  <si>
    <r>
      <t xml:space="preserve">Similar trajectory to MOH but with their own mix issues; </t>
    </r>
    <r>
      <rPr>
        <b/>
        <sz val="13"/>
        <color theme="1"/>
        <rFont val="Arial"/>
        <family val="2"/>
      </rPr>
      <t>repricing and exits</t>
    </r>
    <r>
      <rPr>
        <sz val="13"/>
        <color theme="1"/>
        <rFont val="Arial"/>
        <family val="2"/>
      </rPr>
      <t xml:space="preserve"> should help, yet chronic-care and pharmacy trends keep MCR from going all the way back down.</t>
    </r>
  </si>
  <si>
    <t>2026 -</t>
  </si>
  <si>
    <t>Municipal securities: $0.21B</t>
  </si>
  <si>
    <t>Corporate debt securities</t>
  </si>
  <si>
    <t>Mortgage Backed Securities</t>
  </si>
  <si>
    <t>Asset Backed Securities</t>
  </si>
  <si>
    <t>Treasury Notes</t>
  </si>
  <si>
    <t>$4.44 Billion Investment Portfolio</t>
  </si>
  <si>
    <t>“Our investments consist primarily of investment-grade debt securities with final maturities of less than 15 years, or less than 15 years average life for structured securities.”</t>
  </si>
  <si>
    <t>Birght Health Cali Medicare - 510m purchase, 1.8bill premium revenue</t>
  </si>
  <si>
    <t>Mychoice Wisconsin - 150m, 44k medicaid members</t>
  </si>
  <si>
    <t>Agewell NY - 110m, 700m premium revenue</t>
  </si>
  <si>
    <t>Cigna's Texas Medicaid - 60m, 50k medicaid members</t>
  </si>
  <si>
    <t>Affinity Medicaid (NY) - 380m, 310k memebrs</t>
  </si>
  <si>
    <t>Magellan MCC - 1bill, 200k members, closed Jan 2021</t>
  </si>
  <si>
    <t>ConnectiCare - 350m purchase, 1.4bill premium revenue, 140k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</si>
</sst>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ptos Narrow"/>
      <family val="2"/>
      <scheme val="minor"/>
    </font>
    <font>
      <i/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5">
    <xf numFmtId="0" fontId="0" fillId="0" borderId="0" xfId="0"/>
    <xf numFmtId="0" fontId="7" fillId="0" borderId="0" xfId="0" applyFont="1"/>
    <xf numFmtId="14" fontId="7" fillId="0" borderId="0" xfId="0" applyNumberFormat="1" applyFont="1"/>
    <xf numFmtId="3" fontId="8" fillId="2" borderId="0" xfId="0" applyNumberFormat="1" applyFont="1" applyFill="1"/>
    <xf numFmtId="1" fontId="8" fillId="2" borderId="0" xfId="0" applyNumberFormat="1" applyFont="1" applyFill="1"/>
    <xf numFmtId="0" fontId="8" fillId="2" borderId="0" xfId="0" applyFont="1" applyFill="1"/>
    <xf numFmtId="9" fontId="7" fillId="0" borderId="0" xfId="1" applyFont="1"/>
    <xf numFmtId="9" fontId="7" fillId="0" borderId="0" xfId="1" applyFont="1" applyFill="1"/>
    <xf numFmtId="0" fontId="8" fillId="0" borderId="0" xfId="0" applyFont="1"/>
    <xf numFmtId="0" fontId="7" fillId="0" borderId="0" xfId="1" applyNumberFormat="1" applyFont="1"/>
    <xf numFmtId="10" fontId="7" fillId="0" borderId="0" xfId="0" applyNumberFormat="1" applyFont="1"/>
    <xf numFmtId="0" fontId="7" fillId="0" borderId="1" xfId="0" applyFont="1" applyBorder="1"/>
    <xf numFmtId="0" fontId="7" fillId="0" borderId="2" xfId="0" applyFont="1" applyBorder="1"/>
    <xf numFmtId="1" fontId="7" fillId="0" borderId="2" xfId="0" applyNumberFormat="1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1" fontId="7" fillId="0" borderId="0" xfId="0" applyNumberFormat="1" applyFont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2" applyFont="1"/>
    <xf numFmtId="164" fontId="7" fillId="0" borderId="0" xfId="0" applyNumberFormat="1" applyFont="1"/>
    <xf numFmtId="3" fontId="7" fillId="0" borderId="0" xfId="0" applyNumberFormat="1" applyFont="1"/>
    <xf numFmtId="0" fontId="10" fillId="0" borderId="0" xfId="0" applyFont="1"/>
    <xf numFmtId="4" fontId="7" fillId="0" borderId="0" xfId="0" applyNumberFormat="1" applyFont="1"/>
    <xf numFmtId="3" fontId="8" fillId="0" borderId="0" xfId="0" applyNumberFormat="1" applyFont="1"/>
    <xf numFmtId="165" fontId="7" fillId="0" borderId="0" xfId="1" applyNumberFormat="1" applyFont="1"/>
    <xf numFmtId="0" fontId="11" fillId="0" borderId="0" xfId="0" applyFont="1"/>
    <xf numFmtId="0" fontId="2" fillId="0" borderId="0" xfId="0" applyFont="1"/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0" fontId="6" fillId="0" borderId="0" xfId="2" applyAlignment="1">
      <alignment vertical="center" wrapText="1"/>
    </xf>
    <xf numFmtId="0" fontId="9" fillId="0" borderId="0" xfId="2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/>
    <xf numFmtId="165" fontId="2" fillId="0" borderId="0" xfId="1" applyNumberFormat="1" applyFont="1"/>
    <xf numFmtId="0" fontId="2" fillId="0" borderId="1" xfId="0" applyFont="1" applyBorder="1"/>
    <xf numFmtId="0" fontId="2" fillId="0" borderId="2" xfId="0" applyFont="1" applyBorder="1"/>
    <xf numFmtId="10" fontId="12" fillId="0" borderId="0" xfId="0" applyNumberFormat="1" applyFont="1" applyAlignment="1">
      <alignment vertical="center" wrapText="1"/>
    </xf>
    <xf numFmtId="0" fontId="13" fillId="0" borderId="0" xfId="0" applyFont="1"/>
    <xf numFmtId="0" fontId="2" fillId="0" borderId="7" xfId="0" applyFont="1" applyBorder="1"/>
    <xf numFmtId="165" fontId="7" fillId="0" borderId="0" xfId="1" applyNumberFormat="1" applyFont="1" applyFill="1"/>
    <xf numFmtId="165" fontId="8" fillId="0" borderId="0" xfId="1" applyNumberFormat="1" applyFont="1"/>
    <xf numFmtId="0" fontId="14" fillId="0" borderId="0" xfId="0" applyFont="1"/>
    <xf numFmtId="0" fontId="14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2"/>
    </xf>
    <xf numFmtId="0" fontId="14" fillId="0" borderId="0" xfId="0" applyFont="1" applyAlignment="1">
      <alignment horizontal="left" vertical="center" indent="2"/>
    </xf>
    <xf numFmtId="0" fontId="15" fillId="0" borderId="0" xfId="0" applyFont="1" applyAlignment="1">
      <alignment horizontal="left" vertical="center" indent="3"/>
    </xf>
    <xf numFmtId="0" fontId="14" fillId="0" borderId="0" xfId="0" applyFont="1" applyAlignment="1">
      <alignment horizontal="left" vertical="center" indent="3"/>
    </xf>
    <xf numFmtId="0" fontId="16" fillId="0" borderId="0" xfId="0" applyFont="1"/>
    <xf numFmtId="0" fontId="15" fillId="0" borderId="0" xfId="0" applyFont="1" applyAlignment="1">
      <alignment vertical="center"/>
    </xf>
    <xf numFmtId="0" fontId="8" fillId="0" borderId="0" xfId="1" applyNumberFormat="1" applyFont="1"/>
    <xf numFmtId="0" fontId="7" fillId="0" borderId="7" xfId="0" applyFont="1" applyBorder="1"/>
    <xf numFmtId="0" fontId="7" fillId="0" borderId="8" xfId="0" applyFont="1" applyBorder="1"/>
    <xf numFmtId="0" fontId="7" fillId="0" borderId="0" xfId="0" applyFont="1"/>
    <xf numFmtId="0" fontId="7" fillId="0" borderId="5" xfId="0" applyFont="1" applyBorder="1"/>
    <xf numFmtId="0" fontId="2" fillId="0" borderId="0" xfId="0" applyFont="1"/>
    <xf numFmtId="0" fontId="2" fillId="0" borderId="2" xfId="0" applyFont="1" applyBorder="1"/>
    <xf numFmtId="0" fontId="7" fillId="0" borderId="2" xfId="0" applyFont="1" applyBorder="1"/>
    <xf numFmtId="0" fontId="7" fillId="0" borderId="3" xfId="0" applyFont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eckerspayer.com/financial/unitedhealth-posts-2-3b-profit-for-q3-raises-outlook/" TargetMode="External"/><Relationship Id="rId13" Type="http://schemas.openxmlformats.org/officeDocument/2006/relationships/hyperlink" Target="https://investors.centene.com/2025-10-29-CENTENE-CORPORATION-REPORTS-THIRD-QUARTER-2025-RESULTS?utm_source=chatgpt.com" TargetMode="External"/><Relationship Id="rId3" Type="http://schemas.openxmlformats.org/officeDocument/2006/relationships/hyperlink" Target="https://stockanalysis.com/stocks/hum/statistics/" TargetMode="External"/><Relationship Id="rId7" Type="http://schemas.openxmlformats.org/officeDocument/2006/relationships/hyperlink" Target="https://investors.molinahealthcare.com/node/24386/pdf?utm_source=chatgpt.com" TargetMode="External"/><Relationship Id="rId12" Type="http://schemas.openxmlformats.org/officeDocument/2006/relationships/hyperlink" Target="https://investors.centene.com/2025-10-29-CENTENE-CORPORATION-REPORTS-THIRD-QUARTER-2025-RESULTS?utm_source=chatgpt.com" TargetMode="External"/><Relationship Id="rId2" Type="http://schemas.openxmlformats.org/officeDocument/2006/relationships/hyperlink" Target="https://stockanalysis.com/stocks/unh/statistics/" TargetMode="External"/><Relationship Id="rId1" Type="http://schemas.openxmlformats.org/officeDocument/2006/relationships/hyperlink" Target="https://stockanalysis.com/stocks/moh/statistics/" TargetMode="External"/><Relationship Id="rId6" Type="http://schemas.openxmlformats.org/officeDocument/2006/relationships/hyperlink" Target="https://stockanalysis.com/stocks/elv/statistics/" TargetMode="External"/><Relationship Id="rId11" Type="http://schemas.openxmlformats.org/officeDocument/2006/relationships/hyperlink" Target="https://policy.humana.com/issue-area/news-and-resources/news-press/2025/humana-reports-third-quarter-2025-financial-results--affirms-ful?utm_source=chatgpt.com" TargetMode="External"/><Relationship Id="rId5" Type="http://schemas.openxmlformats.org/officeDocument/2006/relationships/hyperlink" Target="https://stockanalysis.com/stocks/ci/statistics/" TargetMode="External"/><Relationship Id="rId15" Type="http://schemas.openxmlformats.org/officeDocument/2006/relationships/hyperlink" Target="https://www.elevancehealth.com/newsroom/elv-quarterly-earnings-q3-2025?utm_source=chatgpt.com" TargetMode="External"/><Relationship Id="rId10" Type="http://schemas.openxmlformats.org/officeDocument/2006/relationships/hyperlink" Target="https://www.beckerspayer.com/financial/humana-posts-195m-q3-profit/" TargetMode="External"/><Relationship Id="rId4" Type="http://schemas.openxmlformats.org/officeDocument/2006/relationships/hyperlink" Target="https://stockanalysis.com/stocks/cnc/statistics/" TargetMode="External"/><Relationship Id="rId9" Type="http://schemas.openxmlformats.org/officeDocument/2006/relationships/hyperlink" Target="https://www.unitedhealthgroup.com/content/dam/UHG/PDF/investors/2025/unh-reports-third-quarter-2025-results-and-raises-full-year-2025-earnings-outlook.pdf?utm_source=chatgpt.com" TargetMode="External"/><Relationship Id="rId14" Type="http://schemas.openxmlformats.org/officeDocument/2006/relationships/hyperlink" Target="https://newsroom.thecignagroup.com/2025-10-30-The-Cigna-Group-Reports-Strong-Third-Quarter-2025-Results%2C-Reaffirms-2025-Adjusted-EPS-Outlo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1C10-986F-41A4-B3DD-2A72A923BC11}">
  <dimension ref="A1:E18"/>
  <sheetViews>
    <sheetView workbookViewId="0">
      <selection activeCell="E8" sqref="E8"/>
    </sheetView>
  </sheetViews>
  <sheetFormatPr defaultRowHeight="14.25" x14ac:dyDescent="0.2"/>
  <cols>
    <col min="1" max="1" width="19.85546875" style="1" bestFit="1" customWidth="1"/>
    <col min="2" max="2" width="28.42578125" style="1" bestFit="1" customWidth="1"/>
    <col min="3" max="3" width="11.5703125" style="1" bestFit="1" customWidth="1"/>
    <col min="4" max="4" width="16.140625" style="1" bestFit="1" customWidth="1"/>
    <col min="5" max="5" width="7.85546875" style="1" bestFit="1" customWidth="1"/>
    <col min="6" max="16384" width="9.140625" style="1"/>
  </cols>
  <sheetData>
    <row r="1" spans="1:5" x14ac:dyDescent="0.2">
      <c r="A1" s="1" t="s">
        <v>1</v>
      </c>
      <c r="B1" s="31" t="s">
        <v>72</v>
      </c>
    </row>
    <row r="3" spans="1:5" x14ac:dyDescent="0.2">
      <c r="A3" s="1" t="s">
        <v>6</v>
      </c>
    </row>
    <row r="4" spans="1:5" x14ac:dyDescent="0.2">
      <c r="A4" s="1" t="s">
        <v>0</v>
      </c>
      <c r="B4" s="1">
        <v>140.55000000000001</v>
      </c>
      <c r="C4" s="2">
        <v>45980</v>
      </c>
    </row>
    <row r="5" spans="1:5" x14ac:dyDescent="0.2">
      <c r="A5" s="1" t="s">
        <v>2</v>
      </c>
      <c r="B5" s="1">
        <v>51.4</v>
      </c>
      <c r="C5" s="31" t="s">
        <v>27</v>
      </c>
    </row>
    <row r="6" spans="1:5" x14ac:dyDescent="0.2">
      <c r="A6" s="1" t="s">
        <v>3</v>
      </c>
      <c r="B6" s="1">
        <f xml:space="preserve"> B4 * B5</f>
        <v>7224.27</v>
      </c>
    </row>
    <row r="7" spans="1:5" x14ac:dyDescent="0.2">
      <c r="A7" s="31" t="s">
        <v>114</v>
      </c>
      <c r="B7" s="1">
        <v>8700</v>
      </c>
      <c r="D7" s="31" t="s">
        <v>115</v>
      </c>
      <c r="E7" s="1">
        <v>4324</v>
      </c>
    </row>
    <row r="8" spans="1:5" x14ac:dyDescent="0.2">
      <c r="A8" s="1" t="s">
        <v>4</v>
      </c>
      <c r="B8" s="1">
        <v>3850</v>
      </c>
      <c r="D8" s="1" t="s">
        <v>29</v>
      </c>
      <c r="E8" s="1">
        <v>164.34</v>
      </c>
    </row>
    <row r="9" spans="1:5" x14ac:dyDescent="0.2">
      <c r="A9" s="1" t="s">
        <v>7</v>
      </c>
      <c r="B9" s="1">
        <f>B6 - B7 + B8</f>
        <v>2374.2700000000004</v>
      </c>
      <c r="D9" s="1" t="s">
        <v>25</v>
      </c>
      <c r="E9" s="1">
        <v>82.18</v>
      </c>
    </row>
    <row r="11" spans="1:5" x14ac:dyDescent="0.2">
      <c r="A11" s="1" t="s">
        <v>43</v>
      </c>
      <c r="B11" s="1">
        <v>0.17</v>
      </c>
    </row>
    <row r="12" spans="1:5" x14ac:dyDescent="0.2">
      <c r="A12" s="1" t="s">
        <v>44</v>
      </c>
      <c r="B12" s="1">
        <v>1.66</v>
      </c>
    </row>
    <row r="13" spans="1:5" x14ac:dyDescent="0.2">
      <c r="A13" s="1" t="s">
        <v>45</v>
      </c>
      <c r="B13" s="1">
        <v>1.67</v>
      </c>
    </row>
    <row r="14" spans="1:5" x14ac:dyDescent="0.2">
      <c r="A14" s="1" t="s">
        <v>46</v>
      </c>
      <c r="B14" s="1">
        <v>0.06</v>
      </c>
    </row>
    <row r="15" spans="1:5" x14ac:dyDescent="0.2">
      <c r="A15" s="1" t="s">
        <v>47</v>
      </c>
      <c r="B15" s="1">
        <v>8.42</v>
      </c>
    </row>
    <row r="16" spans="1:5" x14ac:dyDescent="0.2">
      <c r="A16" s="1" t="s">
        <v>48</v>
      </c>
      <c r="B16" s="1">
        <v>5.32</v>
      </c>
    </row>
    <row r="17" spans="1:2" x14ac:dyDescent="0.2">
      <c r="A17" s="1" t="s">
        <v>53</v>
      </c>
      <c r="B17" s="1">
        <v>1460</v>
      </c>
    </row>
    <row r="18" spans="1:2" x14ac:dyDescent="0.2">
      <c r="A18" s="1" t="s">
        <v>54</v>
      </c>
      <c r="B18" s="1">
        <v>14.72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8C8F-3B6A-4584-925C-61BD108C4B76}">
  <dimension ref="A1:AQ89"/>
  <sheetViews>
    <sheetView tabSelected="1" workbookViewId="0">
      <pane xSplit="2" topLeftCell="C1" activePane="topRight" state="frozen"/>
      <selection pane="topRight" activeCell="K37" sqref="K37"/>
    </sheetView>
  </sheetViews>
  <sheetFormatPr defaultRowHeight="14.25" x14ac:dyDescent="0.2"/>
  <cols>
    <col min="1" max="1" width="14.7109375" style="1" bestFit="1" customWidth="1"/>
    <col min="2" max="2" width="28.28515625" style="1" bestFit="1" customWidth="1"/>
    <col min="3" max="27" width="9.140625" style="1"/>
    <col min="28" max="30" width="13.140625" style="1" customWidth="1"/>
    <col min="31" max="31" width="18.85546875" style="1" customWidth="1"/>
    <col min="32" max="32" width="14.85546875" style="1" customWidth="1"/>
    <col min="33" max="33" width="15" style="1" customWidth="1"/>
    <col min="34" max="34" width="8.42578125" style="1" bestFit="1" customWidth="1"/>
    <col min="35" max="35" width="9.28515625" style="1" bestFit="1" customWidth="1"/>
    <col min="36" max="36" width="9.5703125" style="1" bestFit="1" customWidth="1"/>
    <col min="37" max="16384" width="9.140625" style="1"/>
  </cols>
  <sheetData>
    <row r="1" spans="1:37" x14ac:dyDescent="0.2">
      <c r="A1" s="23" t="s">
        <v>8</v>
      </c>
      <c r="B1" s="1" t="s">
        <v>34</v>
      </c>
    </row>
    <row r="2" spans="1:37" x14ac:dyDescent="0.2">
      <c r="A2" s="24"/>
      <c r="B2" s="24"/>
      <c r="C2" s="24"/>
      <c r="D2" s="24" t="s">
        <v>71</v>
      </c>
      <c r="E2" s="24" t="s">
        <v>62</v>
      </c>
      <c r="F2" s="24" t="s">
        <v>63</v>
      </c>
      <c r="G2" s="24" t="s">
        <v>64</v>
      </c>
      <c r="H2" s="24" t="s">
        <v>65</v>
      </c>
      <c r="I2" s="24" t="s">
        <v>61</v>
      </c>
      <c r="J2" s="24" t="s">
        <v>60</v>
      </c>
      <c r="K2" s="24" t="s">
        <v>59</v>
      </c>
      <c r="L2" s="24" t="s">
        <v>70</v>
      </c>
      <c r="M2" s="24" t="s">
        <v>58</v>
      </c>
      <c r="N2" s="24" t="s">
        <v>57</v>
      </c>
      <c r="O2" s="24" t="s">
        <v>56</v>
      </c>
      <c r="P2" s="24" t="s">
        <v>55</v>
      </c>
      <c r="Q2" s="24" t="s">
        <v>50</v>
      </c>
      <c r="R2" s="24" t="s">
        <v>51</v>
      </c>
      <c r="S2" s="24" t="s">
        <v>52</v>
      </c>
      <c r="T2" s="24" t="s">
        <v>49</v>
      </c>
      <c r="U2" s="24" t="s">
        <v>41</v>
      </c>
      <c r="V2" s="24" t="s">
        <v>42</v>
      </c>
      <c r="W2" s="24" t="s">
        <v>13</v>
      </c>
      <c r="X2" s="24" t="s">
        <v>14</v>
      </c>
      <c r="Y2" s="24" t="s">
        <v>15</v>
      </c>
      <c r="Z2" s="24" t="s">
        <v>16</v>
      </c>
      <c r="AA2" s="24" t="s">
        <v>17</v>
      </c>
      <c r="AB2" s="24" t="s">
        <v>18</v>
      </c>
      <c r="AC2" s="24" t="s">
        <v>19</v>
      </c>
      <c r="AD2" s="24" t="s">
        <v>20</v>
      </c>
      <c r="AE2" s="24" t="s">
        <v>21</v>
      </c>
      <c r="AF2" s="24" t="s">
        <v>22</v>
      </c>
      <c r="AG2" s="24" t="s">
        <v>5</v>
      </c>
      <c r="AH2" s="24" t="s">
        <v>26</v>
      </c>
      <c r="AI2" s="24" t="s">
        <v>27</v>
      </c>
      <c r="AJ2" s="24" t="s">
        <v>28</v>
      </c>
      <c r="AK2" s="24" t="s">
        <v>30</v>
      </c>
    </row>
    <row r="3" spans="1:37" x14ac:dyDescent="0.2">
      <c r="A3" s="31" t="s">
        <v>122</v>
      </c>
    </row>
    <row r="4" spans="1:37" x14ac:dyDescent="0.2">
      <c r="B4" s="31" t="s">
        <v>68</v>
      </c>
      <c r="D4" s="1">
        <v>3537</v>
      </c>
      <c r="E4" s="1">
        <v>3508</v>
      </c>
      <c r="F4" s="1">
        <v>3554</v>
      </c>
      <c r="G4" s="1">
        <v>3515</v>
      </c>
      <c r="H4" s="1">
        <v>3361</v>
      </c>
      <c r="I4" s="1">
        <v>2964</v>
      </c>
      <c r="J4" s="1">
        <v>2962</v>
      </c>
      <c r="K4" s="1">
        <v>2955</v>
      </c>
      <c r="L4" s="1">
        <v>2956</v>
      </c>
      <c r="M4" s="1">
        <v>2970</v>
      </c>
      <c r="N4" s="1">
        <v>3122</v>
      </c>
      <c r="O4" s="1">
        <v>3595</v>
      </c>
      <c r="P4" s="1">
        <v>3599</v>
      </c>
      <c r="Q4" s="1">
        <v>3859</v>
      </c>
      <c r="R4" s="1">
        <v>3928</v>
      </c>
      <c r="S4" s="1">
        <v>3981</v>
      </c>
      <c r="T4" s="1">
        <v>4329</v>
      </c>
      <c r="U4" s="1">
        <v>4566</v>
      </c>
      <c r="V4" s="1">
        <v>4610</v>
      </c>
      <c r="W4" s="1">
        <v>4667</v>
      </c>
      <c r="X4" s="1">
        <v>4754</v>
      </c>
      <c r="Y4" s="1">
        <v>4834</v>
      </c>
      <c r="Z4" s="1">
        <v>4741</v>
      </c>
      <c r="AA4" s="1">
        <v>4757</v>
      </c>
      <c r="AB4" s="1">
        <v>4542</v>
      </c>
      <c r="AC4" s="1">
        <v>5123</v>
      </c>
      <c r="AD4" s="1">
        <v>4942</v>
      </c>
      <c r="AE4" s="1">
        <v>4941</v>
      </c>
      <c r="AF4" s="1">
        <v>4890</v>
      </c>
      <c r="AG4" s="1">
        <v>4812</v>
      </c>
      <c r="AH4" s="1">
        <v>4774</v>
      </c>
      <c r="AI4" s="1">
        <v>4639</v>
      </c>
    </row>
    <row r="5" spans="1:37" x14ac:dyDescent="0.2">
      <c r="B5" s="31" t="s">
        <v>116</v>
      </c>
      <c r="D5" s="1">
        <v>101</v>
      </c>
      <c r="E5" s="1">
        <v>100</v>
      </c>
      <c r="F5" s="1">
        <v>100</v>
      </c>
      <c r="G5" s="1">
        <v>100</v>
      </c>
      <c r="H5" s="1">
        <v>98</v>
      </c>
      <c r="I5" s="1">
        <v>97</v>
      </c>
      <c r="J5" s="1">
        <v>100</v>
      </c>
      <c r="K5" s="1">
        <v>102</v>
      </c>
      <c r="L5" s="1">
        <v>101</v>
      </c>
      <c r="M5" s="1">
        <v>105</v>
      </c>
      <c r="N5" s="1">
        <v>108</v>
      </c>
      <c r="O5" s="1">
        <v>113</v>
      </c>
      <c r="P5" s="1">
        <v>115</v>
      </c>
      <c r="Q5" s="1">
        <v>126</v>
      </c>
      <c r="R5" s="1">
        <v>130</v>
      </c>
      <c r="S5" s="1">
        <v>138</v>
      </c>
      <c r="T5" s="1">
        <v>142</v>
      </c>
      <c r="U5" s="1">
        <v>148</v>
      </c>
      <c r="V5" s="1">
        <v>151</v>
      </c>
      <c r="W5" s="1">
        <v>155</v>
      </c>
      <c r="X5" s="1">
        <v>156</v>
      </c>
      <c r="Y5" s="1">
        <v>161</v>
      </c>
      <c r="Z5" s="1">
        <v>166</v>
      </c>
      <c r="AA5" s="1">
        <v>173</v>
      </c>
      <c r="AB5" s="1">
        <v>172</v>
      </c>
      <c r="AC5" s="1">
        <v>258</v>
      </c>
      <c r="AD5" s="1">
        <v>251</v>
      </c>
      <c r="AE5" s="1">
        <v>247</v>
      </c>
      <c r="AF5" s="1">
        <v>242</v>
      </c>
      <c r="AG5" s="1">
        <v>260</v>
      </c>
      <c r="AH5" s="1">
        <v>267</v>
      </c>
      <c r="AI5" s="1">
        <v>266</v>
      </c>
    </row>
    <row r="6" spans="1:37" x14ac:dyDescent="0.2">
      <c r="B6" s="31" t="s">
        <v>117</v>
      </c>
      <c r="D6" s="1">
        <v>815</v>
      </c>
      <c r="E6" s="1">
        <v>453</v>
      </c>
      <c r="F6" s="1">
        <v>409</v>
      </c>
      <c r="G6" s="1">
        <v>384</v>
      </c>
      <c r="H6" s="1">
        <v>362</v>
      </c>
      <c r="I6" s="1">
        <v>332</v>
      </c>
      <c r="J6" s="1">
        <v>308</v>
      </c>
      <c r="K6" s="1">
        <v>289</v>
      </c>
      <c r="L6" s="1">
        <v>274</v>
      </c>
      <c r="M6" s="1">
        <v>329</v>
      </c>
      <c r="N6" s="1">
        <v>325</v>
      </c>
      <c r="O6" s="1">
        <v>325</v>
      </c>
      <c r="P6" s="1">
        <v>318</v>
      </c>
      <c r="Q6" s="1">
        <v>620</v>
      </c>
      <c r="R6" s="1">
        <v>638</v>
      </c>
      <c r="S6" s="1">
        <v>719</v>
      </c>
      <c r="T6" s="1">
        <v>728</v>
      </c>
      <c r="U6" s="1">
        <v>371</v>
      </c>
      <c r="V6" s="1">
        <v>357</v>
      </c>
      <c r="W6" s="1">
        <v>353</v>
      </c>
      <c r="X6" s="1">
        <v>348</v>
      </c>
      <c r="Y6" s="1">
        <v>271</v>
      </c>
      <c r="Z6" s="1">
        <v>269</v>
      </c>
      <c r="AA6" s="1">
        <v>276</v>
      </c>
      <c r="AB6" s="1">
        <v>281</v>
      </c>
      <c r="AC6" s="1">
        <v>346</v>
      </c>
      <c r="AD6" s="1">
        <v>386</v>
      </c>
      <c r="AE6" s="1">
        <v>410</v>
      </c>
      <c r="AF6" s="1">
        <v>403</v>
      </c>
      <c r="AG6" s="1">
        <v>662</v>
      </c>
      <c r="AH6" s="1">
        <v>690</v>
      </c>
      <c r="AI6" s="1">
        <v>713</v>
      </c>
    </row>
    <row r="7" spans="1:37" x14ac:dyDescent="0.2">
      <c r="B7" s="31" t="s">
        <v>69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18</v>
      </c>
      <c r="AH7" s="1">
        <v>15</v>
      </c>
      <c r="AI7" s="1">
        <v>10</v>
      </c>
    </row>
    <row r="8" spans="1:37" s="8" customFormat="1" ht="15" x14ac:dyDescent="0.25">
      <c r="A8" s="28"/>
      <c r="B8" s="28" t="s">
        <v>108</v>
      </c>
      <c r="C8" s="28"/>
      <c r="D8" s="8">
        <f t="shared" ref="D8:AI8" si="0">SUM(D4:D7)</f>
        <v>4453</v>
      </c>
      <c r="E8" s="8">
        <f t="shared" si="0"/>
        <v>4061</v>
      </c>
      <c r="F8" s="8">
        <f t="shared" si="0"/>
        <v>4063</v>
      </c>
      <c r="G8" s="8">
        <f t="shared" si="0"/>
        <v>3999</v>
      </c>
      <c r="H8" s="8">
        <f t="shared" si="0"/>
        <v>3821</v>
      </c>
      <c r="I8" s="8">
        <f t="shared" si="0"/>
        <v>3393</v>
      </c>
      <c r="J8" s="8">
        <f t="shared" si="0"/>
        <v>3370</v>
      </c>
      <c r="K8" s="8">
        <f t="shared" si="0"/>
        <v>3346</v>
      </c>
      <c r="L8" s="8">
        <f t="shared" si="0"/>
        <v>3331</v>
      </c>
      <c r="M8" s="8">
        <f t="shared" si="0"/>
        <v>3404</v>
      </c>
      <c r="N8" s="8">
        <f t="shared" si="0"/>
        <v>3555</v>
      </c>
      <c r="O8" s="8">
        <f t="shared" si="0"/>
        <v>4033</v>
      </c>
      <c r="P8" s="8">
        <f t="shared" si="0"/>
        <v>4032</v>
      </c>
      <c r="Q8" s="8">
        <f t="shared" si="0"/>
        <v>4605</v>
      </c>
      <c r="R8" s="8">
        <f t="shared" si="0"/>
        <v>4696</v>
      </c>
      <c r="S8" s="8">
        <f t="shared" si="0"/>
        <v>4838</v>
      </c>
      <c r="T8" s="8">
        <f t="shared" si="0"/>
        <v>5199</v>
      </c>
      <c r="U8" s="8">
        <f t="shared" si="0"/>
        <v>5085</v>
      </c>
      <c r="V8" s="8">
        <f t="shared" si="0"/>
        <v>5118</v>
      </c>
      <c r="W8" s="8">
        <f t="shared" si="0"/>
        <v>5175</v>
      </c>
      <c r="X8" s="8">
        <f t="shared" si="0"/>
        <v>5258</v>
      </c>
      <c r="Y8" s="8">
        <f t="shared" si="0"/>
        <v>5266</v>
      </c>
      <c r="Z8" s="8">
        <f t="shared" si="0"/>
        <v>5176</v>
      </c>
      <c r="AA8" s="8">
        <f t="shared" si="0"/>
        <v>5206</v>
      </c>
      <c r="AB8" s="8">
        <f t="shared" si="0"/>
        <v>4995</v>
      </c>
      <c r="AC8" s="8">
        <f t="shared" si="0"/>
        <v>5727</v>
      </c>
      <c r="AD8" s="8">
        <f t="shared" si="0"/>
        <v>5579</v>
      </c>
      <c r="AE8" s="8">
        <f t="shared" si="0"/>
        <v>5598</v>
      </c>
      <c r="AF8" s="8">
        <f t="shared" si="0"/>
        <v>5535</v>
      </c>
      <c r="AG8" s="8">
        <f t="shared" si="0"/>
        <v>5752</v>
      </c>
      <c r="AH8" s="8">
        <f t="shared" si="0"/>
        <v>5746</v>
      </c>
      <c r="AI8" s="8">
        <f t="shared" si="0"/>
        <v>5628</v>
      </c>
    </row>
    <row r="9" spans="1:37" x14ac:dyDescent="0.2">
      <c r="A9" s="25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spans="1:37" ht="15" x14ac:dyDescent="0.25">
      <c r="A10" s="25"/>
      <c r="B10" s="38" t="s">
        <v>68</v>
      </c>
      <c r="C10" s="25"/>
      <c r="D10" s="25">
        <v>3509</v>
      </c>
      <c r="E10" s="25">
        <v>3379</v>
      </c>
      <c r="F10" s="56">
        <v>3442</v>
      </c>
      <c r="G10" s="25">
        <v>3372</v>
      </c>
      <c r="H10" s="25">
        <v>3430</v>
      </c>
      <c r="I10" s="25">
        <v>3004</v>
      </c>
      <c r="J10" s="25">
        <v>3067</v>
      </c>
      <c r="K10" s="25">
        <v>3168</v>
      </c>
      <c r="L10" s="25">
        <v>3227</v>
      </c>
      <c r="M10" s="25">
        <v>3286</v>
      </c>
      <c r="N10" s="25">
        <v>3375</v>
      </c>
      <c r="O10" s="1">
        <v>3754</v>
      </c>
      <c r="P10" s="25">
        <v>3850</v>
      </c>
      <c r="Q10" s="25">
        <v>4840</v>
      </c>
      <c r="R10" s="25">
        <v>4840</v>
      </c>
      <c r="S10" s="25">
        <v>5034</v>
      </c>
      <c r="T10" s="25">
        <v>5441</v>
      </c>
      <c r="U10" s="25">
        <v>5980</v>
      </c>
      <c r="V10" s="25">
        <v>6301</v>
      </c>
      <c r="W10" s="25">
        <v>6125</v>
      </c>
      <c r="X10" s="25">
        <v>6421</v>
      </c>
      <c r="Y10" s="25">
        <v>6349</v>
      </c>
      <c r="Z10" s="1">
        <v>6485</v>
      </c>
      <c r="AA10" s="1">
        <v>6711</v>
      </c>
      <c r="AB10" s="1">
        <v>6782</v>
      </c>
      <c r="AC10" s="1">
        <v>7492</v>
      </c>
      <c r="AD10" s="1">
        <v>7378</v>
      </c>
      <c r="AE10" s="1">
        <v>7668</v>
      </c>
      <c r="AF10" s="1">
        <v>8041</v>
      </c>
      <c r="AG10" s="1">
        <v>8130</v>
      </c>
      <c r="AH10" s="1">
        <v>8029</v>
      </c>
      <c r="AI10" s="1">
        <v>8015</v>
      </c>
    </row>
    <row r="11" spans="1:37" ht="15" x14ac:dyDescent="0.25">
      <c r="A11" s="25"/>
      <c r="B11" s="38" t="s">
        <v>116</v>
      </c>
      <c r="C11" s="25"/>
      <c r="D11" s="25">
        <v>515</v>
      </c>
      <c r="E11" s="25">
        <v>514</v>
      </c>
      <c r="F11" s="56">
        <v>524</v>
      </c>
      <c r="G11" s="25">
        <v>509</v>
      </c>
      <c r="H11" s="25">
        <v>527</v>
      </c>
      <c r="I11" s="25">
        <v>551</v>
      </c>
      <c r="J11" s="25">
        <v>572</v>
      </c>
      <c r="K11" s="25">
        <v>559</v>
      </c>
      <c r="L11" s="25">
        <v>561</v>
      </c>
      <c r="M11" s="25">
        <v>634</v>
      </c>
      <c r="N11" s="25">
        <v>630</v>
      </c>
      <c r="O11" s="1">
        <v>632</v>
      </c>
      <c r="P11" s="1">
        <v>616</v>
      </c>
      <c r="Q11" s="25">
        <v>799</v>
      </c>
      <c r="R11" s="25">
        <v>799</v>
      </c>
      <c r="S11" s="25">
        <v>814</v>
      </c>
      <c r="T11" s="25">
        <v>873</v>
      </c>
      <c r="U11" s="25">
        <v>943</v>
      </c>
      <c r="V11" s="25">
        <v>957</v>
      </c>
      <c r="W11" s="25">
        <v>947</v>
      </c>
      <c r="X11" s="25">
        <v>948</v>
      </c>
      <c r="Y11" s="25">
        <v>1046</v>
      </c>
      <c r="Z11" s="1">
        <v>1044</v>
      </c>
      <c r="AA11" s="1">
        <v>1032</v>
      </c>
      <c r="AB11" s="1">
        <v>1057</v>
      </c>
      <c r="AC11" s="1">
        <v>1442</v>
      </c>
      <c r="AD11" s="1">
        <v>1441</v>
      </c>
      <c r="AE11" s="1">
        <v>1367</v>
      </c>
      <c r="AF11" s="1">
        <v>1292</v>
      </c>
      <c r="AG11" s="1">
        <v>1468</v>
      </c>
      <c r="AH11" s="1">
        <v>1608</v>
      </c>
      <c r="AI11" s="1">
        <v>1610</v>
      </c>
    </row>
    <row r="12" spans="1:37" x14ac:dyDescent="0.2">
      <c r="A12" s="25"/>
      <c r="B12" s="38" t="s">
        <v>117</v>
      </c>
      <c r="C12" s="25"/>
      <c r="D12" s="25">
        <v>665</v>
      </c>
      <c r="E12" s="25">
        <v>430</v>
      </c>
      <c r="F12" s="9">
        <v>548</v>
      </c>
      <c r="G12" s="25">
        <v>456</v>
      </c>
      <c r="H12" s="25">
        <v>481</v>
      </c>
      <c r="I12" s="25">
        <v>397</v>
      </c>
      <c r="J12" s="25">
        <v>410</v>
      </c>
      <c r="K12" s="25">
        <v>357</v>
      </c>
      <c r="L12" s="25">
        <v>335</v>
      </c>
      <c r="M12" s="25">
        <v>384</v>
      </c>
      <c r="N12" s="25">
        <v>367</v>
      </c>
      <c r="O12" s="1">
        <v>382</v>
      </c>
      <c r="P12" s="25">
        <v>389</v>
      </c>
      <c r="Q12" s="25">
        <v>667</v>
      </c>
      <c r="R12" s="25">
        <v>667</v>
      </c>
      <c r="S12" s="25">
        <v>735</v>
      </c>
      <c r="T12" s="25">
        <v>852</v>
      </c>
      <c r="U12" s="25">
        <v>608</v>
      </c>
      <c r="V12" s="25">
        <v>541</v>
      </c>
      <c r="W12" s="25">
        <v>564</v>
      </c>
      <c r="X12" s="25">
        <v>548</v>
      </c>
      <c r="Y12" s="25">
        <v>490</v>
      </c>
      <c r="Z12" s="1">
        <v>513</v>
      </c>
      <c r="AA12" s="1">
        <v>497</v>
      </c>
      <c r="AB12" s="1">
        <v>523</v>
      </c>
      <c r="AC12" s="1">
        <v>570</v>
      </c>
      <c r="AD12" s="1">
        <v>627</v>
      </c>
      <c r="AE12" s="1">
        <v>659</v>
      </c>
      <c r="AF12" s="1">
        <v>650</v>
      </c>
      <c r="AG12" s="1">
        <v>1004</v>
      </c>
      <c r="AH12" s="1">
        <v>1200</v>
      </c>
      <c r="AI12" s="1">
        <v>1197</v>
      </c>
    </row>
    <row r="13" spans="1:37" x14ac:dyDescent="0.2">
      <c r="A13" s="25"/>
      <c r="B13" s="38" t="s">
        <v>69</v>
      </c>
      <c r="C13" s="25"/>
      <c r="D13" s="25"/>
      <c r="E13" s="25"/>
      <c r="F13" s="25"/>
      <c r="G13" s="25"/>
      <c r="H13" s="25"/>
      <c r="I13" s="25"/>
      <c r="J13" s="25"/>
      <c r="K13" s="25">
        <v>0</v>
      </c>
      <c r="L13" s="25">
        <v>0</v>
      </c>
      <c r="M13" s="25">
        <v>0</v>
      </c>
      <c r="N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26</v>
      </c>
      <c r="AH13" s="1">
        <v>31</v>
      </c>
      <c r="AI13" s="1">
        <v>19</v>
      </c>
    </row>
    <row r="14" spans="1:37" s="8" customFormat="1" ht="15" x14ac:dyDescent="0.25">
      <c r="A14" s="28"/>
      <c r="B14" s="28" t="s">
        <v>130</v>
      </c>
      <c r="C14" s="28"/>
      <c r="D14" s="8">
        <f t="shared" ref="D14:AH14" si="1">SUM(D10:D13)</f>
        <v>4689</v>
      </c>
      <c r="E14" s="8">
        <f t="shared" si="1"/>
        <v>4323</v>
      </c>
      <c r="F14" s="8">
        <f>SUM(F10:F13)</f>
        <v>4514</v>
      </c>
      <c r="G14" s="8">
        <f t="shared" si="1"/>
        <v>4337</v>
      </c>
      <c r="H14" s="28">
        <f>SUM(H10:H13)</f>
        <v>4438</v>
      </c>
      <c r="I14" s="8">
        <f t="shared" si="1"/>
        <v>3952</v>
      </c>
      <c r="J14" s="8">
        <f t="shared" si="1"/>
        <v>4049</v>
      </c>
      <c r="K14" s="8">
        <f t="shared" si="1"/>
        <v>4084</v>
      </c>
      <c r="L14" s="8">
        <f t="shared" si="1"/>
        <v>4123</v>
      </c>
      <c r="M14" s="8">
        <f t="shared" si="1"/>
        <v>4304</v>
      </c>
      <c r="N14" s="8">
        <f t="shared" si="1"/>
        <v>4372</v>
      </c>
      <c r="O14" s="8">
        <f t="shared" si="1"/>
        <v>4768</v>
      </c>
      <c r="P14" s="8">
        <f>SUM(P10:P13)</f>
        <v>4855</v>
      </c>
      <c r="Q14" s="8">
        <f t="shared" si="1"/>
        <v>6306</v>
      </c>
      <c r="R14" s="8">
        <f t="shared" si="1"/>
        <v>6306</v>
      </c>
      <c r="S14" s="8">
        <f t="shared" si="1"/>
        <v>6583</v>
      </c>
      <c r="T14" s="8">
        <f t="shared" si="1"/>
        <v>7166</v>
      </c>
      <c r="U14" s="8">
        <f t="shared" si="1"/>
        <v>7531</v>
      </c>
      <c r="V14" s="8">
        <f t="shared" si="1"/>
        <v>7799</v>
      </c>
      <c r="W14" s="8">
        <f t="shared" si="1"/>
        <v>7636</v>
      </c>
      <c r="X14" s="8">
        <f t="shared" si="1"/>
        <v>7917</v>
      </c>
      <c r="Y14" s="8">
        <f t="shared" si="1"/>
        <v>7885</v>
      </c>
      <c r="Z14" s="8">
        <f t="shared" si="1"/>
        <v>8042</v>
      </c>
      <c r="AA14" s="8">
        <f t="shared" si="1"/>
        <v>8240</v>
      </c>
      <c r="AB14" s="8">
        <f t="shared" si="1"/>
        <v>8362</v>
      </c>
      <c r="AC14" s="8">
        <f t="shared" si="1"/>
        <v>9504</v>
      </c>
      <c r="AD14" s="8">
        <f t="shared" si="1"/>
        <v>9446</v>
      </c>
      <c r="AE14" s="8">
        <f t="shared" si="1"/>
        <v>9694</v>
      </c>
      <c r="AF14" s="8">
        <f t="shared" si="1"/>
        <v>9983</v>
      </c>
      <c r="AG14" s="8">
        <f t="shared" si="1"/>
        <v>10628</v>
      </c>
      <c r="AH14" s="8">
        <f t="shared" si="1"/>
        <v>10868</v>
      </c>
      <c r="AI14" s="8">
        <f>SUM(AI10:AI13)</f>
        <v>10841</v>
      </c>
    </row>
    <row r="15" spans="1:37" x14ac:dyDescent="0.2">
      <c r="A15" s="38" t="s">
        <v>129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spans="1:37" s="46" customFormat="1" ht="15" x14ac:dyDescent="0.25">
      <c r="B16" s="46" t="s">
        <v>68</v>
      </c>
      <c r="D16" s="46">
        <v>0.88600000000000001</v>
      </c>
      <c r="E16" s="46">
        <v>0.90800000000000003</v>
      </c>
      <c r="F16" s="46">
        <v>0.89800000000000002</v>
      </c>
      <c r="G16" s="46">
        <v>0.90500000000000003</v>
      </c>
      <c r="H16" s="46">
        <v>0.88800000000000001</v>
      </c>
      <c r="I16" s="46">
        <v>0.88500000000000001</v>
      </c>
      <c r="J16" s="46">
        <v>0.88100000000000001</v>
      </c>
      <c r="K16" s="46">
        <v>0.88100000000000001</v>
      </c>
      <c r="L16" s="46">
        <v>0.873</v>
      </c>
      <c r="M16" s="46">
        <v>0.88900000000000001</v>
      </c>
      <c r="N16" s="46">
        <v>0.88900000000000001</v>
      </c>
      <c r="O16" s="46">
        <v>0.83599999999999997</v>
      </c>
      <c r="P16" s="46">
        <v>0.90200000000000002</v>
      </c>
      <c r="Q16" s="46">
        <v>0.875</v>
      </c>
      <c r="R16" s="46">
        <v>0.875</v>
      </c>
      <c r="S16" s="46">
        <v>0.89</v>
      </c>
      <c r="T16" s="46">
        <v>0.88300000000000001</v>
      </c>
      <c r="U16" s="46">
        <v>0.88100000000000001</v>
      </c>
      <c r="V16" s="46">
        <v>0.88</v>
      </c>
      <c r="W16" s="46">
        <v>0.88500000000000001</v>
      </c>
      <c r="X16" s="46">
        <v>0.873</v>
      </c>
      <c r="Y16" s="46">
        <v>0.88400000000000001</v>
      </c>
      <c r="Z16" s="46">
        <v>0.88300000000000001</v>
      </c>
      <c r="AA16" s="46">
        <v>0.88800000000000001</v>
      </c>
      <c r="AB16" s="46">
        <v>0.89200000000000002</v>
      </c>
      <c r="AC16" s="46">
        <v>0.89700000000000002</v>
      </c>
      <c r="AD16" s="46">
        <v>0.90800000000000003</v>
      </c>
      <c r="AE16" s="46">
        <v>0.90500000000000003</v>
      </c>
      <c r="AF16" s="46">
        <v>0.90200000000000002</v>
      </c>
      <c r="AG16" s="46">
        <v>0.90300000000000002</v>
      </c>
      <c r="AH16" s="46">
        <v>0.91300000000000003</v>
      </c>
      <c r="AI16" s="46">
        <v>0.92</v>
      </c>
    </row>
    <row r="17" spans="1:38" s="46" customFormat="1" ht="15" x14ac:dyDescent="0.25">
      <c r="B17" s="46" t="s">
        <v>116</v>
      </c>
      <c r="D17" s="46">
        <v>0.90200000000000002</v>
      </c>
      <c r="E17" s="46">
        <v>0.84799999999999998</v>
      </c>
      <c r="F17" s="46">
        <v>0.85</v>
      </c>
      <c r="G17" s="46">
        <v>0.873</v>
      </c>
      <c r="H17" s="46">
        <v>0.80800000000000005</v>
      </c>
      <c r="I17" s="46">
        <v>0.84699999999999998</v>
      </c>
      <c r="J17" s="46">
        <v>0.85199999999999998</v>
      </c>
      <c r="K17" s="46">
        <v>0.85599999999999998</v>
      </c>
      <c r="L17" s="46">
        <v>0.85499999999999998</v>
      </c>
      <c r="M17" s="46">
        <v>0.81699999999999995</v>
      </c>
      <c r="N17" s="46">
        <v>0.81699999999999995</v>
      </c>
      <c r="O17" s="46">
        <v>0.8</v>
      </c>
      <c r="P17" s="46">
        <v>0.97099999999999997</v>
      </c>
      <c r="Q17" s="46">
        <v>0.90300000000000002</v>
      </c>
      <c r="R17" s="46">
        <v>0.90300000000000002</v>
      </c>
      <c r="S17" s="46">
        <v>0.876</v>
      </c>
      <c r="T17" s="46">
        <v>0.88300000000000001</v>
      </c>
      <c r="U17" s="46">
        <v>0.86499999999999999</v>
      </c>
      <c r="V17" s="46">
        <v>0.86899999999999999</v>
      </c>
      <c r="W17" s="46">
        <v>0.88700000000000001</v>
      </c>
      <c r="X17" s="46">
        <v>0.91800000000000004</v>
      </c>
      <c r="Y17" s="46">
        <v>0.88</v>
      </c>
      <c r="Z17" s="46">
        <v>0.89200000000000002</v>
      </c>
      <c r="AA17" s="46">
        <v>0.92400000000000004</v>
      </c>
      <c r="AB17" s="46">
        <v>0.93300000000000005</v>
      </c>
      <c r="AC17" s="46">
        <v>0.88700000000000001</v>
      </c>
      <c r="AD17" s="46">
        <v>0.84899999999999998</v>
      </c>
      <c r="AE17" s="46">
        <v>0.89600000000000002</v>
      </c>
      <c r="AF17" s="46">
        <v>0.93799999999999994</v>
      </c>
      <c r="AG17" s="46">
        <v>0.88300000000000001</v>
      </c>
      <c r="AH17" s="46">
        <v>0.9</v>
      </c>
      <c r="AI17" s="46">
        <v>0.93600000000000005</v>
      </c>
    </row>
    <row r="18" spans="1:38" s="29" customFormat="1" x14ac:dyDescent="0.2">
      <c r="A18" s="39"/>
      <c r="B18" s="39" t="s">
        <v>117</v>
      </c>
      <c r="D18" s="29">
        <v>0.90700000000000003</v>
      </c>
      <c r="E18" s="29">
        <v>0.50600000000000001</v>
      </c>
      <c r="F18" s="29">
        <v>0.85299999999999998</v>
      </c>
      <c r="G18" s="29">
        <v>0.64100000000000001</v>
      </c>
      <c r="H18" s="29">
        <v>0.629</v>
      </c>
      <c r="I18" s="29">
        <v>0.622</v>
      </c>
      <c r="J18" s="29">
        <v>0.67200000000000004</v>
      </c>
      <c r="K18" s="29">
        <v>0.71199999999999997</v>
      </c>
      <c r="L18" s="29">
        <v>0.73499999999999999</v>
      </c>
      <c r="M18" s="29">
        <v>0.72299999999999998</v>
      </c>
      <c r="N18" s="29">
        <v>0.72299999999999998</v>
      </c>
      <c r="O18" s="29">
        <v>0.74</v>
      </c>
      <c r="P18" s="29">
        <v>0.86599999999999999</v>
      </c>
      <c r="Q18" s="29">
        <v>0.77300000000000002</v>
      </c>
      <c r="R18" s="29">
        <v>0.77300000000000002</v>
      </c>
      <c r="S18" s="29">
        <v>0.84799999999999998</v>
      </c>
      <c r="T18" s="29">
        <v>0.92100000000000004</v>
      </c>
      <c r="U18" s="29">
        <v>0.78600000000000003</v>
      </c>
      <c r="V18" s="29">
        <v>0.91200000000000003</v>
      </c>
      <c r="W18" s="29">
        <v>0.86299999999999999</v>
      </c>
      <c r="X18" s="29">
        <v>0.93799999999999994</v>
      </c>
      <c r="Y18" s="29">
        <v>0.68600000000000005</v>
      </c>
      <c r="Z18" s="29">
        <v>0.73699999999999999</v>
      </c>
      <c r="AA18" s="29">
        <v>0.78900000000000003</v>
      </c>
      <c r="AB18" s="29">
        <v>0.79800000000000004</v>
      </c>
      <c r="AC18" s="29">
        <v>0.73299999999999998</v>
      </c>
      <c r="AD18" s="29">
        <v>0.71599999999999997</v>
      </c>
      <c r="AE18" s="29">
        <v>0.73</v>
      </c>
      <c r="AF18" s="29">
        <v>0.83299999999999996</v>
      </c>
      <c r="AG18" s="29">
        <v>0.81699999999999995</v>
      </c>
      <c r="AH18" s="29">
        <v>0.85399999999999998</v>
      </c>
      <c r="AI18" s="29">
        <v>0.95599999999999996</v>
      </c>
    </row>
    <row r="19" spans="1:38" s="29" customFormat="1" x14ac:dyDescent="0.2">
      <c r="A19" s="39"/>
      <c r="B19" s="39" t="s">
        <v>69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0.877</v>
      </c>
      <c r="AH19" s="29">
        <v>0.82699999999999996</v>
      </c>
      <c r="AI19" s="29">
        <v>0.84099999999999997</v>
      </c>
    </row>
    <row r="20" spans="1:38" s="5" customFormat="1" ht="15" x14ac:dyDescent="0.25">
      <c r="A20" s="3"/>
      <c r="B20" s="3" t="s">
        <v>9</v>
      </c>
      <c r="C20" s="3"/>
      <c r="D20" s="3">
        <v>4949</v>
      </c>
      <c r="E20" s="3">
        <v>4646</v>
      </c>
      <c r="F20" s="3">
        <v>4883</v>
      </c>
      <c r="G20" s="3">
        <v>4697</v>
      </c>
      <c r="H20" s="3">
        <v>4664</v>
      </c>
      <c r="I20" s="3">
        <v>4119</v>
      </c>
      <c r="J20" s="3">
        <v>4193</v>
      </c>
      <c r="K20" s="3">
        <v>4243</v>
      </c>
      <c r="L20" s="3">
        <v>4274</v>
      </c>
      <c r="M20" s="3">
        <v>4549</v>
      </c>
      <c r="N20" s="3">
        <v>4618</v>
      </c>
      <c r="O20" s="3">
        <v>5021</v>
      </c>
      <c r="P20" s="3">
        <v>5235</v>
      </c>
      <c r="Q20" s="3">
        <v>6522</v>
      </c>
      <c r="R20" s="3">
        <v>6800</v>
      </c>
      <c r="S20" s="3">
        <v>7040</v>
      </c>
      <c r="T20" s="3">
        <v>7409</v>
      </c>
      <c r="U20" s="3">
        <v>7770</v>
      </c>
      <c r="V20" s="3">
        <v>8054</v>
      </c>
      <c r="W20" s="3">
        <v>7927</v>
      </c>
      <c r="X20" s="3">
        <v>8223</v>
      </c>
      <c r="Y20" s="3">
        <v>8149</v>
      </c>
      <c r="Z20" s="3">
        <v>8327</v>
      </c>
      <c r="AA20" s="3">
        <v>8548</v>
      </c>
      <c r="AB20" s="3">
        <v>9048</v>
      </c>
      <c r="AC20" s="3">
        <v>9931</v>
      </c>
      <c r="AD20" s="3">
        <v>9880</v>
      </c>
      <c r="AE20" s="3">
        <v>10340</v>
      </c>
      <c r="AF20" s="3">
        <v>10499</v>
      </c>
      <c r="AG20" s="3">
        <v>11147</v>
      </c>
      <c r="AH20" s="3">
        <v>11427</v>
      </c>
      <c r="AI20" s="3">
        <v>11477</v>
      </c>
      <c r="AJ20" s="3">
        <f t="shared" ref="AJ20:AK20" si="2">SUM(AJ10:AJ13)</f>
        <v>0</v>
      </c>
      <c r="AK20" s="3">
        <f t="shared" si="2"/>
        <v>0</v>
      </c>
    </row>
    <row r="21" spans="1:38" x14ac:dyDescent="0.2">
      <c r="A21" s="25"/>
      <c r="B21" s="25" t="s">
        <v>66</v>
      </c>
      <c r="C21" s="25"/>
      <c r="D21" s="25">
        <v>4251</v>
      </c>
      <c r="E21" s="25">
        <v>3722</v>
      </c>
      <c r="F21" s="25">
        <v>3850</v>
      </c>
      <c r="G21" s="25">
        <v>3790</v>
      </c>
      <c r="H21" s="25">
        <v>3775</v>
      </c>
      <c r="I21" s="25">
        <v>3371</v>
      </c>
      <c r="J21" s="25">
        <v>3466</v>
      </c>
      <c r="K21" s="25">
        <v>3523</v>
      </c>
      <c r="L21" s="25">
        <v>3545</v>
      </c>
      <c r="M21" s="25">
        <v>3716</v>
      </c>
      <c r="N21" s="25">
        <v>3598</v>
      </c>
      <c r="O21" s="25">
        <v>4098</v>
      </c>
      <c r="P21" s="25">
        <v>4408</v>
      </c>
      <c r="Q21" s="25">
        <v>5474</v>
      </c>
      <c r="R21" s="25">
        <v>5819</v>
      </c>
      <c r="S21" s="26">
        <v>6049</v>
      </c>
      <c r="T21" s="25">
        <v>6362</v>
      </c>
      <c r="U21" s="25">
        <v>6563</v>
      </c>
      <c r="V21" s="25">
        <v>6872</v>
      </c>
      <c r="W21" s="1">
        <v>6748</v>
      </c>
      <c r="X21" s="26">
        <v>6992</v>
      </c>
      <c r="Y21" s="26">
        <v>6871</v>
      </c>
      <c r="Z21" s="26">
        <v>7038</v>
      </c>
      <c r="AA21" s="26">
        <v>7306</v>
      </c>
      <c r="AB21" s="1">
        <v>7454</v>
      </c>
      <c r="AC21" s="26">
        <v>8414</v>
      </c>
      <c r="AD21" s="26">
        <v>8368</v>
      </c>
      <c r="AE21" s="1">
        <v>8643</v>
      </c>
      <c r="AF21" s="1">
        <v>9003</v>
      </c>
      <c r="AG21" s="1">
        <v>9479</v>
      </c>
      <c r="AH21" s="1">
        <v>9829</v>
      </c>
      <c r="AI21" s="1">
        <v>10044</v>
      </c>
    </row>
    <row r="22" spans="1:38" x14ac:dyDescent="0.2">
      <c r="A22" s="25"/>
      <c r="B22" s="38" t="s">
        <v>118</v>
      </c>
      <c r="C22" s="17"/>
      <c r="D22" s="17">
        <v>367</v>
      </c>
      <c r="E22" s="17">
        <v>352</v>
      </c>
      <c r="F22" s="17">
        <v>335</v>
      </c>
      <c r="G22" s="17">
        <v>311</v>
      </c>
      <c r="H22" s="17">
        <v>335</v>
      </c>
      <c r="I22" s="17">
        <v>302</v>
      </c>
      <c r="J22" s="17">
        <v>328</v>
      </c>
      <c r="K22" s="17">
        <v>323</v>
      </c>
      <c r="L22" s="17">
        <v>343</v>
      </c>
      <c r="M22" s="17">
        <v>317</v>
      </c>
      <c r="N22" s="17">
        <v>345</v>
      </c>
      <c r="O22" s="17">
        <v>368</v>
      </c>
      <c r="P22" s="17">
        <v>450</v>
      </c>
      <c r="Q22" s="17">
        <v>473</v>
      </c>
      <c r="R22" s="17">
        <v>484</v>
      </c>
      <c r="S22" s="17">
        <v>532</v>
      </c>
      <c r="T22" s="17">
        <v>579</v>
      </c>
      <c r="U22" s="17">
        <v>571</v>
      </c>
      <c r="V22" s="17">
        <v>551</v>
      </c>
      <c r="W22" s="1">
        <v>560</v>
      </c>
      <c r="X22" s="17">
        <v>629</v>
      </c>
      <c r="Y22" s="17">
        <v>591</v>
      </c>
      <c r="Z22" s="17">
        <v>618</v>
      </c>
      <c r="AA22" s="17">
        <v>608</v>
      </c>
      <c r="AB22" s="17">
        <v>645</v>
      </c>
      <c r="AC22" s="17">
        <v>711</v>
      </c>
      <c r="AD22" s="17">
        <v>691</v>
      </c>
      <c r="AE22" s="17">
        <v>676</v>
      </c>
      <c r="AF22" s="17">
        <v>665</v>
      </c>
      <c r="AG22" s="17">
        <v>774</v>
      </c>
      <c r="AH22" s="17">
        <v>711</v>
      </c>
      <c r="AI22" s="1">
        <v>729</v>
      </c>
    </row>
    <row r="23" spans="1:38" x14ac:dyDescent="0.2">
      <c r="A23" s="25"/>
      <c r="B23" s="31" t="s">
        <v>119</v>
      </c>
      <c r="C23" s="25"/>
      <c r="D23" s="25">
        <v>107</v>
      </c>
      <c r="E23" s="25">
        <v>104</v>
      </c>
      <c r="F23" s="25">
        <v>106</v>
      </c>
      <c r="G23" s="25">
        <v>110</v>
      </c>
      <c r="H23" s="25">
        <v>97</v>
      </c>
      <c r="I23" s="25">
        <v>138</v>
      </c>
      <c r="J23" s="25">
        <v>110</v>
      </c>
      <c r="K23" s="25">
        <v>119</v>
      </c>
      <c r="L23" s="25">
        <v>122</v>
      </c>
      <c r="M23" s="25">
        <v>150</v>
      </c>
      <c r="N23" s="25">
        <v>157</v>
      </c>
      <c r="O23" s="25">
        <v>170</v>
      </c>
      <c r="P23" s="25">
        <v>172</v>
      </c>
      <c r="Q23" s="25">
        <v>187</v>
      </c>
      <c r="R23" s="25">
        <v>185</v>
      </c>
      <c r="S23" s="26">
        <v>204</v>
      </c>
      <c r="T23" s="25">
        <v>211</v>
      </c>
      <c r="U23" s="25">
        <v>208</v>
      </c>
      <c r="V23" s="25">
        <v>215</v>
      </c>
      <c r="W23" s="1">
        <v>223</v>
      </c>
      <c r="X23" s="26">
        <v>227</v>
      </c>
      <c r="Y23" s="26">
        <v>172</v>
      </c>
      <c r="Z23" s="26">
        <v>169</v>
      </c>
      <c r="AA23" s="26">
        <v>176</v>
      </c>
      <c r="AB23" s="26">
        <v>552</v>
      </c>
      <c r="AC23" s="26">
        <v>297</v>
      </c>
      <c r="AD23" s="26">
        <v>298</v>
      </c>
      <c r="AE23" s="26">
        <v>508</v>
      </c>
      <c r="AF23" s="26">
        <v>383</v>
      </c>
      <c r="AG23" s="1">
        <v>388</v>
      </c>
      <c r="AH23" s="26">
        <v>431</v>
      </c>
      <c r="AI23" s="1">
        <v>506</v>
      </c>
    </row>
    <row r="24" spans="1:38" x14ac:dyDescent="0.2">
      <c r="A24" s="25"/>
      <c r="B24" s="1" t="s">
        <v>67</v>
      </c>
      <c r="C24" s="25"/>
      <c r="D24" s="25">
        <v>28</v>
      </c>
      <c r="E24" s="25">
        <v>26</v>
      </c>
      <c r="F24" s="25">
        <v>25</v>
      </c>
      <c r="G24" s="25">
        <v>25</v>
      </c>
      <c r="H24" s="25">
        <v>23</v>
      </c>
      <c r="I24" s="25">
        <v>25</v>
      </c>
      <c r="J24" s="25">
        <v>22</v>
      </c>
      <c r="K24" s="25">
        <v>21</v>
      </c>
      <c r="L24" s="25">
        <v>21</v>
      </c>
      <c r="M24" s="25">
        <v>20</v>
      </c>
      <c r="N24" s="25">
        <v>21</v>
      </c>
      <c r="O24" s="25">
        <v>23</v>
      </c>
      <c r="P24" s="25">
        <v>24</v>
      </c>
      <c r="Q24" s="25">
        <v>33</v>
      </c>
      <c r="R24" s="25">
        <v>31</v>
      </c>
      <c r="S24" s="26">
        <v>32</v>
      </c>
      <c r="T24" s="25">
        <v>35</v>
      </c>
      <c r="U24" s="25">
        <v>40</v>
      </c>
      <c r="V24" s="25">
        <v>44</v>
      </c>
      <c r="W24" s="1">
        <v>45</v>
      </c>
      <c r="X24" s="26">
        <v>47</v>
      </c>
      <c r="Y24" s="26">
        <v>44</v>
      </c>
      <c r="Z24" s="26">
        <v>42</v>
      </c>
      <c r="AA24" s="26">
        <v>42</v>
      </c>
      <c r="AB24" s="26">
        <v>43</v>
      </c>
      <c r="AC24" s="26">
        <v>45</v>
      </c>
      <c r="AD24" s="26">
        <v>46</v>
      </c>
      <c r="AE24" s="26">
        <v>47</v>
      </c>
      <c r="AF24" s="26">
        <v>48</v>
      </c>
      <c r="AG24" s="1">
        <v>48</v>
      </c>
      <c r="AH24" s="26">
        <v>58</v>
      </c>
      <c r="AI24" s="1">
        <v>45</v>
      </c>
    </row>
    <row r="25" spans="1:38" x14ac:dyDescent="0.2">
      <c r="A25" s="25"/>
      <c r="B25" s="31" t="s">
        <v>69</v>
      </c>
      <c r="C25" s="25"/>
      <c r="D25" s="25">
        <v>196</v>
      </c>
      <c r="E25" s="25">
        <v>292</v>
      </c>
      <c r="F25" s="25">
        <v>225</v>
      </c>
      <c r="G25" s="25">
        <v>92</v>
      </c>
      <c r="H25" s="25">
        <v>105</v>
      </c>
      <c r="I25" s="25">
        <v>3</v>
      </c>
      <c r="J25" s="25">
        <v>2</v>
      </c>
      <c r="K25" s="25">
        <v>0</v>
      </c>
      <c r="L25" s="25">
        <v>1</v>
      </c>
      <c r="M25" s="25">
        <v>72</v>
      </c>
      <c r="N25" s="25">
        <v>73</v>
      </c>
      <c r="O25" s="25">
        <v>73</v>
      </c>
      <c r="P25" s="25">
        <v>90</v>
      </c>
      <c r="Q25" s="25">
        <v>20</v>
      </c>
      <c r="R25" s="25">
        <v>8</v>
      </c>
      <c r="S25" s="26">
        <v>2</v>
      </c>
      <c r="T25" s="25">
        <v>31</v>
      </c>
      <c r="U25" s="25">
        <v>16</v>
      </c>
      <c r="V25" s="25">
        <v>11</v>
      </c>
      <c r="W25" s="1">
        <v>16</v>
      </c>
      <c r="X25" s="26">
        <v>223</v>
      </c>
      <c r="Y25" s="26">
        <v>16</v>
      </c>
      <c r="Z25" s="26">
        <v>17</v>
      </c>
      <c r="AA25" s="26">
        <v>57</v>
      </c>
      <c r="AB25" s="26">
        <v>38</v>
      </c>
      <c r="AC25" s="26">
        <v>38</v>
      </c>
      <c r="AD25" s="26">
        <v>43</v>
      </c>
      <c r="AE25" s="26">
        <v>-1</v>
      </c>
      <c r="AF25" s="26">
        <v>20</v>
      </c>
      <c r="AG25" s="1">
        <v>25</v>
      </c>
      <c r="AH25" s="26">
        <v>25</v>
      </c>
      <c r="AI25" s="1">
        <v>16</v>
      </c>
    </row>
    <row r="26" spans="1:38" s="5" customFormat="1" ht="15" x14ac:dyDescent="0.25">
      <c r="A26" s="3"/>
      <c r="B26" s="3" t="s">
        <v>10</v>
      </c>
      <c r="D26" s="4">
        <f t="shared" ref="D26:AK26" si="3">D20-SUM(D21:D25)</f>
        <v>0</v>
      </c>
      <c r="E26" s="4">
        <f t="shared" si="3"/>
        <v>150</v>
      </c>
      <c r="F26" s="4">
        <f t="shared" si="3"/>
        <v>342</v>
      </c>
      <c r="G26" s="4">
        <f t="shared" si="3"/>
        <v>369</v>
      </c>
      <c r="H26" s="4">
        <f t="shared" si="3"/>
        <v>329</v>
      </c>
      <c r="I26" s="4">
        <f t="shared" si="3"/>
        <v>280</v>
      </c>
      <c r="J26" s="4">
        <f t="shared" si="3"/>
        <v>265</v>
      </c>
      <c r="K26" s="4">
        <f t="shared" si="3"/>
        <v>257</v>
      </c>
      <c r="L26" s="4">
        <f t="shared" si="3"/>
        <v>242</v>
      </c>
      <c r="M26" s="4">
        <f t="shared" si="3"/>
        <v>274</v>
      </c>
      <c r="N26" s="4">
        <f t="shared" si="3"/>
        <v>424</v>
      </c>
      <c r="O26" s="4">
        <f t="shared" si="3"/>
        <v>289</v>
      </c>
      <c r="P26" s="4">
        <f t="shared" si="3"/>
        <v>91</v>
      </c>
      <c r="Q26" s="4">
        <f t="shared" si="3"/>
        <v>335</v>
      </c>
      <c r="R26" s="4">
        <f t="shared" si="3"/>
        <v>273</v>
      </c>
      <c r="S26" s="4">
        <f t="shared" si="3"/>
        <v>221</v>
      </c>
      <c r="T26" s="4">
        <f t="shared" si="3"/>
        <v>191</v>
      </c>
      <c r="U26" s="4">
        <f t="shared" si="3"/>
        <v>372</v>
      </c>
      <c r="V26" s="4">
        <f t="shared" si="3"/>
        <v>361</v>
      </c>
      <c r="W26" s="4">
        <f t="shared" si="3"/>
        <v>335</v>
      </c>
      <c r="X26" s="4">
        <f t="shared" si="3"/>
        <v>105</v>
      </c>
      <c r="Y26" s="4">
        <f t="shared" si="3"/>
        <v>455</v>
      </c>
      <c r="Z26" s="4">
        <f t="shared" si="3"/>
        <v>443</v>
      </c>
      <c r="AA26" s="4">
        <f t="shared" si="3"/>
        <v>359</v>
      </c>
      <c r="AB26" s="4">
        <f t="shared" si="3"/>
        <v>316</v>
      </c>
      <c r="AC26" s="4">
        <f t="shared" si="3"/>
        <v>426</v>
      </c>
      <c r="AD26" s="4">
        <f t="shared" si="3"/>
        <v>434</v>
      </c>
      <c r="AE26" s="4">
        <f t="shared" si="3"/>
        <v>467</v>
      </c>
      <c r="AF26" s="4">
        <f t="shared" si="3"/>
        <v>380</v>
      </c>
      <c r="AG26" s="4">
        <f t="shared" si="3"/>
        <v>433</v>
      </c>
      <c r="AH26" s="4">
        <f t="shared" si="3"/>
        <v>373</v>
      </c>
      <c r="AI26" s="4">
        <f t="shared" si="3"/>
        <v>137</v>
      </c>
      <c r="AJ26" s="4">
        <f t="shared" si="3"/>
        <v>0</v>
      </c>
      <c r="AK26" s="4">
        <f t="shared" si="3"/>
        <v>0</v>
      </c>
      <c r="AL26" s="4">
        <f t="shared" ref="AL26" si="4">AL20-SUM(AL21:AL24)</f>
        <v>0</v>
      </c>
    </row>
    <row r="27" spans="1:38" x14ac:dyDescent="0.2">
      <c r="B27" s="1" t="s">
        <v>38</v>
      </c>
      <c r="D27" s="1">
        <v>-316</v>
      </c>
      <c r="E27" s="1">
        <v>179</v>
      </c>
      <c r="F27" s="1">
        <v>305</v>
      </c>
      <c r="G27" s="1">
        <v>259</v>
      </c>
      <c r="H27" s="1">
        <v>256</v>
      </c>
      <c r="I27" s="1">
        <v>260</v>
      </c>
      <c r="J27" s="1">
        <v>257</v>
      </c>
      <c r="K27" s="1">
        <v>233</v>
      </c>
      <c r="L27" s="1">
        <v>222</v>
      </c>
      <c r="M27" s="1">
        <v>253</v>
      </c>
      <c r="N27" s="1">
        <v>395</v>
      </c>
      <c r="O27" s="1">
        <v>262</v>
      </c>
      <c r="P27" s="1">
        <v>51</v>
      </c>
      <c r="Q27" s="1">
        <v>305</v>
      </c>
      <c r="R27" s="1">
        <v>243</v>
      </c>
      <c r="S27" s="1">
        <v>191</v>
      </c>
      <c r="T27" s="1">
        <v>136</v>
      </c>
      <c r="U27" s="1">
        <v>344</v>
      </c>
      <c r="V27" s="1">
        <v>334</v>
      </c>
      <c r="W27" s="26">
        <v>307</v>
      </c>
      <c r="X27" s="26">
        <v>78</v>
      </c>
      <c r="Y27" s="26">
        <v>427</v>
      </c>
      <c r="Z27" s="26">
        <v>416</v>
      </c>
      <c r="AA27" s="26">
        <v>332</v>
      </c>
      <c r="AB27" s="1">
        <v>289</v>
      </c>
      <c r="AC27" s="26">
        <v>399</v>
      </c>
      <c r="AD27" s="26">
        <v>406</v>
      </c>
      <c r="AE27" s="26">
        <v>438</v>
      </c>
      <c r="AF27" s="1">
        <v>346</v>
      </c>
      <c r="AG27" s="1">
        <v>390</v>
      </c>
      <c r="AH27" s="1">
        <v>325</v>
      </c>
      <c r="AI27" s="1">
        <v>88</v>
      </c>
    </row>
    <row r="28" spans="1:38" x14ac:dyDescent="0.2">
      <c r="B28" s="1" t="s">
        <v>39</v>
      </c>
      <c r="D28" s="1">
        <v>-54</v>
      </c>
      <c r="E28" s="1">
        <v>72</v>
      </c>
      <c r="F28" s="1">
        <v>103</v>
      </c>
      <c r="G28" s="1">
        <v>62</v>
      </c>
      <c r="H28" s="1">
        <v>55</v>
      </c>
      <c r="I28" s="1">
        <v>62</v>
      </c>
      <c r="J28" s="1">
        <v>61</v>
      </c>
      <c r="K28" s="1">
        <v>58</v>
      </c>
      <c r="L28" s="1">
        <v>54</v>
      </c>
      <c r="M28" s="1">
        <v>75</v>
      </c>
      <c r="N28" s="1">
        <v>119</v>
      </c>
      <c r="O28" s="1">
        <v>77</v>
      </c>
      <c r="P28" s="1">
        <v>17</v>
      </c>
      <c r="Q28" s="1">
        <v>77</v>
      </c>
      <c r="R28" s="1">
        <v>58</v>
      </c>
      <c r="S28" s="1">
        <v>48</v>
      </c>
      <c r="T28" s="1">
        <v>33</v>
      </c>
      <c r="U28" s="1">
        <v>86</v>
      </c>
      <c r="V28" s="1">
        <v>86</v>
      </c>
      <c r="W28" s="26">
        <v>77</v>
      </c>
      <c r="X28" s="26">
        <v>22</v>
      </c>
      <c r="Y28" s="26">
        <v>106</v>
      </c>
      <c r="Z28" s="26">
        <v>107</v>
      </c>
      <c r="AA28" s="26">
        <v>87</v>
      </c>
      <c r="AB28" s="1">
        <v>73</v>
      </c>
      <c r="AC28" s="26">
        <v>98</v>
      </c>
      <c r="AD28" s="1">
        <v>105</v>
      </c>
      <c r="AE28" s="26">
        <v>112</v>
      </c>
      <c r="AF28" s="1">
        <v>95</v>
      </c>
      <c r="AG28" s="1">
        <v>92</v>
      </c>
      <c r="AH28" s="1">
        <v>70</v>
      </c>
      <c r="AI28" s="1">
        <v>9</v>
      </c>
    </row>
    <row r="29" spans="1:38" s="5" customFormat="1" ht="15" x14ac:dyDescent="0.25">
      <c r="B29" s="5" t="s">
        <v>11</v>
      </c>
      <c r="D29" s="5">
        <f t="shared" ref="D29" si="5">D27-D28</f>
        <v>-262</v>
      </c>
      <c r="E29" s="5">
        <f>E27-E28</f>
        <v>107</v>
      </c>
      <c r="F29" s="5">
        <f t="shared" ref="F29:P29" si="6">F27-F28</f>
        <v>202</v>
      </c>
      <c r="G29" s="5">
        <f t="shared" si="6"/>
        <v>197</v>
      </c>
      <c r="H29" s="5">
        <f t="shared" si="6"/>
        <v>201</v>
      </c>
      <c r="I29" s="5">
        <f t="shared" si="6"/>
        <v>198</v>
      </c>
      <c r="J29" s="5">
        <f t="shared" si="6"/>
        <v>196</v>
      </c>
      <c r="K29" s="5">
        <f t="shared" si="6"/>
        <v>175</v>
      </c>
      <c r="L29" s="5">
        <f t="shared" si="6"/>
        <v>168</v>
      </c>
      <c r="M29" s="5">
        <f t="shared" si="6"/>
        <v>178</v>
      </c>
      <c r="N29" s="5">
        <f t="shared" si="6"/>
        <v>276</v>
      </c>
      <c r="O29" s="5">
        <f t="shared" si="6"/>
        <v>185</v>
      </c>
      <c r="P29" s="5">
        <f t="shared" si="6"/>
        <v>34</v>
      </c>
      <c r="Q29" s="5">
        <f t="shared" ref="Q29:T29" si="7">Q27-Q28</f>
        <v>228</v>
      </c>
      <c r="R29" s="5">
        <f t="shared" si="7"/>
        <v>185</v>
      </c>
      <c r="S29" s="5">
        <f t="shared" si="7"/>
        <v>143</v>
      </c>
      <c r="T29" s="5">
        <f t="shared" si="7"/>
        <v>103</v>
      </c>
      <c r="U29" s="5">
        <f t="shared" ref="U29:AF29" si="8">U27-U28</f>
        <v>258</v>
      </c>
      <c r="V29" s="5">
        <f t="shared" si="8"/>
        <v>248</v>
      </c>
      <c r="W29" s="5">
        <f t="shared" si="8"/>
        <v>230</v>
      </c>
      <c r="X29" s="5">
        <f t="shared" si="8"/>
        <v>56</v>
      </c>
      <c r="Y29" s="5">
        <f t="shared" si="8"/>
        <v>321</v>
      </c>
      <c r="Z29" s="5">
        <f t="shared" si="8"/>
        <v>309</v>
      </c>
      <c r="AA29" s="5">
        <f t="shared" si="8"/>
        <v>245</v>
      </c>
      <c r="AB29" s="5">
        <f t="shared" si="8"/>
        <v>216</v>
      </c>
      <c r="AC29" s="5">
        <f t="shared" si="8"/>
        <v>301</v>
      </c>
      <c r="AD29" s="5">
        <f t="shared" si="8"/>
        <v>301</v>
      </c>
      <c r="AE29" s="5">
        <f t="shared" si="8"/>
        <v>326</v>
      </c>
      <c r="AF29" s="5">
        <f t="shared" si="8"/>
        <v>251</v>
      </c>
      <c r="AG29" s="5">
        <f t="shared" ref="AG29:AL29" si="9">AG27-AG28</f>
        <v>298</v>
      </c>
      <c r="AH29" s="5">
        <f t="shared" si="9"/>
        <v>255</v>
      </c>
      <c r="AI29" s="5">
        <f t="shared" si="9"/>
        <v>79</v>
      </c>
      <c r="AJ29" s="5">
        <f t="shared" si="9"/>
        <v>0</v>
      </c>
      <c r="AK29" s="5">
        <f t="shared" si="9"/>
        <v>0</v>
      </c>
      <c r="AL29" s="5">
        <f t="shared" si="9"/>
        <v>0</v>
      </c>
    </row>
    <row r="30" spans="1:38" x14ac:dyDescent="0.2">
      <c r="B30" s="1" t="s">
        <v>31</v>
      </c>
      <c r="C30" s="27"/>
      <c r="D30" s="27">
        <v>-4.59</v>
      </c>
      <c r="E30" s="27">
        <v>1.643</v>
      </c>
      <c r="F30" s="27">
        <v>3.02</v>
      </c>
      <c r="G30" s="27">
        <v>2.9</v>
      </c>
      <c r="H30" s="27">
        <v>3.01</v>
      </c>
      <c r="I30" s="27">
        <v>2.99</v>
      </c>
      <c r="J30" s="27">
        <v>3.06</v>
      </c>
      <c r="K30" s="27">
        <v>2.75</v>
      </c>
      <c r="L30" s="27">
        <v>2.67</v>
      </c>
      <c r="M30" s="27">
        <v>2.92</v>
      </c>
      <c r="N30" s="27">
        <v>4.6500000000000004</v>
      </c>
      <c r="O30" s="27">
        <v>3.1</v>
      </c>
      <c r="P30" s="27">
        <v>0.56000000000000005</v>
      </c>
      <c r="Q30" s="27">
        <v>3.89</v>
      </c>
      <c r="R30" s="27">
        <v>3.16</v>
      </c>
      <c r="S30" s="27">
        <v>2.46</v>
      </c>
      <c r="T30" s="27">
        <v>1.74</v>
      </c>
      <c r="U30" s="27">
        <v>4.3899999999999997</v>
      </c>
      <c r="V30" s="27">
        <v>4.25</v>
      </c>
      <c r="W30" s="27">
        <v>3.95</v>
      </c>
      <c r="X30" s="27">
        <v>0.96</v>
      </c>
      <c r="Y30" s="27">
        <v>5.52</v>
      </c>
      <c r="Z30" s="27">
        <v>5.35</v>
      </c>
      <c r="AA30" s="27">
        <v>4.21</v>
      </c>
      <c r="AB30" s="1">
        <v>3.7</v>
      </c>
      <c r="AC30" s="27">
        <v>5.17</v>
      </c>
      <c r="AD30" s="27">
        <v>5.17</v>
      </c>
      <c r="AE30" s="27">
        <v>5.65</v>
      </c>
      <c r="AF30" s="27">
        <v>4.4400000000000004</v>
      </c>
      <c r="AG30" s="1">
        <v>5.45</v>
      </c>
      <c r="AH30" s="1">
        <v>4.75</v>
      </c>
      <c r="AI30" s="1">
        <v>1.51</v>
      </c>
    </row>
    <row r="31" spans="1:38" x14ac:dyDescent="0.2">
      <c r="B31" s="31" t="s">
        <v>131</v>
      </c>
      <c r="D31" s="1">
        <v>57.1</v>
      </c>
      <c r="E31" s="1">
        <v>65.2</v>
      </c>
      <c r="F31" s="1">
        <v>66.7</v>
      </c>
      <c r="G31" s="1">
        <v>67.900000000000006</v>
      </c>
      <c r="H31" s="1">
        <v>66.599999999999994</v>
      </c>
      <c r="I31" s="1">
        <v>66.2</v>
      </c>
      <c r="J31" s="1">
        <v>64</v>
      </c>
      <c r="K31" s="1">
        <v>63.6</v>
      </c>
      <c r="L31" s="1">
        <v>63</v>
      </c>
      <c r="M31" s="1">
        <v>61</v>
      </c>
      <c r="N31" s="1">
        <v>59.4</v>
      </c>
      <c r="O31" s="1">
        <v>59.6</v>
      </c>
      <c r="P31" s="1">
        <v>59.4</v>
      </c>
      <c r="Q31" s="1">
        <v>58.6</v>
      </c>
      <c r="R31" s="1">
        <v>58.4</v>
      </c>
      <c r="S31" s="1">
        <v>58.5</v>
      </c>
      <c r="T31" s="1">
        <v>58.7</v>
      </c>
      <c r="U31" s="1">
        <v>58.7</v>
      </c>
      <c r="V31" s="1">
        <v>58.4</v>
      </c>
      <c r="W31" s="1">
        <v>58.3</v>
      </c>
      <c r="X31" s="1">
        <v>58.4</v>
      </c>
      <c r="Y31" s="1">
        <v>58</v>
      </c>
      <c r="Z31" s="1">
        <v>57.9</v>
      </c>
      <c r="AA31" s="1">
        <v>58.1</v>
      </c>
      <c r="AB31" s="1">
        <v>58.2</v>
      </c>
      <c r="AC31" s="1">
        <v>58.3</v>
      </c>
      <c r="AD31" s="1">
        <v>58.2</v>
      </c>
      <c r="AE31" s="1">
        <v>57.7</v>
      </c>
      <c r="AF31" s="1">
        <v>56.5</v>
      </c>
      <c r="AG31" s="1">
        <v>54.8</v>
      </c>
      <c r="AH31" s="1">
        <v>53.7</v>
      </c>
      <c r="AI31" s="1">
        <v>52.5</v>
      </c>
    </row>
    <row r="33" spans="2:43" x14ac:dyDescent="0.2">
      <c r="B33" s="1" t="s">
        <v>36</v>
      </c>
      <c r="D33" s="1" t="s">
        <v>40</v>
      </c>
      <c r="E33" s="1" t="s">
        <v>40</v>
      </c>
      <c r="F33" s="1" t="s">
        <v>40</v>
      </c>
      <c r="G33" s="6" t="e">
        <f>(G20/#REF!) - 1</f>
        <v>#REF!</v>
      </c>
      <c r="H33" s="6">
        <f>(H20/D20) - 1</f>
        <v>-5.7587391392200482E-2</v>
      </c>
      <c r="I33" s="6">
        <f t="shared" ref="I33:AI33" si="10">(I20/E20) - 1</f>
        <v>-0.11343090830822211</v>
      </c>
      <c r="J33" s="6">
        <f t="shared" si="10"/>
        <v>-0.14130657382756506</v>
      </c>
      <c r="K33" s="6">
        <f t="shared" si="10"/>
        <v>-9.6657440919736048E-2</v>
      </c>
      <c r="L33" s="6">
        <f t="shared" si="10"/>
        <v>-8.361921097770153E-2</v>
      </c>
      <c r="M33" s="6">
        <f t="shared" si="10"/>
        <v>0.10439427045399374</v>
      </c>
      <c r="N33" s="6">
        <f t="shared" si="10"/>
        <v>0.1013594085380396</v>
      </c>
      <c r="O33" s="6">
        <f t="shared" si="10"/>
        <v>0.18336082960169686</v>
      </c>
      <c r="P33" s="6">
        <f t="shared" si="10"/>
        <v>0.22484791764155365</v>
      </c>
      <c r="Q33" s="6">
        <f t="shared" si="10"/>
        <v>0.4337216970762805</v>
      </c>
      <c r="R33" s="6">
        <f t="shared" si="10"/>
        <v>0.47249891728020788</v>
      </c>
      <c r="S33" s="6">
        <f t="shared" si="10"/>
        <v>0.40211113324039038</v>
      </c>
      <c r="T33" s="6">
        <f t="shared" si="10"/>
        <v>0.41528175740210127</v>
      </c>
      <c r="U33" s="6">
        <f t="shared" si="10"/>
        <v>0.19135234590616368</v>
      </c>
      <c r="V33" s="6">
        <f t="shared" si="10"/>
        <v>0.18441176470588228</v>
      </c>
      <c r="W33" s="6">
        <f t="shared" si="10"/>
        <v>0.12599431818181817</v>
      </c>
      <c r="X33" s="6">
        <f t="shared" si="10"/>
        <v>0.10986637872857341</v>
      </c>
      <c r="Y33" s="6">
        <f t="shared" si="10"/>
        <v>4.877734877734885E-2</v>
      </c>
      <c r="Z33" s="6">
        <f t="shared" si="10"/>
        <v>3.3896200645642027E-2</v>
      </c>
      <c r="AA33" s="6">
        <f t="shared" si="10"/>
        <v>7.8339851141667749E-2</v>
      </c>
      <c r="AB33" s="6">
        <f t="shared" si="10"/>
        <v>0.10032834731849682</v>
      </c>
      <c r="AC33" s="6">
        <f t="shared" si="10"/>
        <v>0.2186771382991779</v>
      </c>
      <c r="AD33" s="6">
        <f t="shared" si="10"/>
        <v>0.1865017413234058</v>
      </c>
      <c r="AE33" s="6">
        <f t="shared" si="10"/>
        <v>0.2096396817969115</v>
      </c>
      <c r="AF33" s="6">
        <f t="shared" si="10"/>
        <v>0.16036693191865603</v>
      </c>
      <c r="AG33" s="6">
        <f t="shared" si="10"/>
        <v>0.12244486960024159</v>
      </c>
      <c r="AH33" s="6">
        <f t="shared" si="10"/>
        <v>0.15657894736842115</v>
      </c>
      <c r="AI33" s="6">
        <f t="shared" si="10"/>
        <v>0.10996131528046416</v>
      </c>
      <c r="AJ33" s="6"/>
      <c r="AK33" s="6"/>
      <c r="AL33" s="6"/>
      <c r="AM33" s="6"/>
    </row>
    <row r="34" spans="2:43" x14ac:dyDescent="0.2">
      <c r="B34" s="1" t="s">
        <v>37</v>
      </c>
      <c r="D34" s="6" t="e">
        <f xml:space="preserve"> (D20/#REF!) - 1</f>
        <v>#REF!</v>
      </c>
      <c r="E34" s="6">
        <f xml:space="preserve"> (E20/D20) - 1</f>
        <v>-6.1224489795918324E-2</v>
      </c>
      <c r="F34" s="6">
        <f t="shared" ref="F34:AI34" si="11" xml:space="preserve"> (F20/E20) - 1</f>
        <v>5.1011622901420584E-2</v>
      </c>
      <c r="G34" s="6">
        <f t="shared" si="11"/>
        <v>-3.8091337292647909E-2</v>
      </c>
      <c r="H34" s="6">
        <f t="shared" si="11"/>
        <v>-7.0257611241217877E-3</v>
      </c>
      <c r="I34" s="6">
        <f t="shared" si="11"/>
        <v>-0.116852487135506</v>
      </c>
      <c r="J34" s="6">
        <f t="shared" si="11"/>
        <v>1.79655256130129E-2</v>
      </c>
      <c r="K34" s="6">
        <f t="shared" si="11"/>
        <v>1.1924636298592972E-2</v>
      </c>
      <c r="L34" s="6">
        <f t="shared" si="11"/>
        <v>7.3061513080368012E-3</v>
      </c>
      <c r="M34" s="6">
        <f t="shared" si="11"/>
        <v>6.4342536265793226E-2</v>
      </c>
      <c r="N34" s="6">
        <f t="shared" si="11"/>
        <v>1.5168168828313844E-2</v>
      </c>
      <c r="O34" s="6">
        <f t="shared" si="11"/>
        <v>8.7267215244694718E-2</v>
      </c>
      <c r="P34" s="6">
        <f t="shared" si="11"/>
        <v>4.2620991834295907E-2</v>
      </c>
      <c r="Q34" s="6">
        <f t="shared" si="11"/>
        <v>0.24584527220630381</v>
      </c>
      <c r="R34" s="6">
        <f t="shared" si="11"/>
        <v>4.2624961668199957E-2</v>
      </c>
      <c r="S34" s="6">
        <f t="shared" si="11"/>
        <v>3.529411764705892E-2</v>
      </c>
      <c r="T34" s="6">
        <f t="shared" si="11"/>
        <v>5.2414772727272796E-2</v>
      </c>
      <c r="U34" s="6">
        <f t="shared" si="11"/>
        <v>4.8724524227291122E-2</v>
      </c>
      <c r="V34" s="6">
        <f t="shared" si="11"/>
        <v>3.6550836550836463E-2</v>
      </c>
      <c r="W34" s="6">
        <f t="shared" si="11"/>
        <v>-1.5768562205115466E-2</v>
      </c>
      <c r="X34" s="6">
        <f t="shared" si="11"/>
        <v>3.7340734199571068E-2</v>
      </c>
      <c r="Y34" s="6">
        <f t="shared" si="11"/>
        <v>-8.9991487291742889E-3</v>
      </c>
      <c r="Z34" s="6">
        <f t="shared" si="11"/>
        <v>2.1843170941219681E-2</v>
      </c>
      <c r="AA34" s="6">
        <f t="shared" si="11"/>
        <v>2.6540170529602447E-2</v>
      </c>
      <c r="AB34" s="6">
        <f t="shared" si="11"/>
        <v>5.8493214787084691E-2</v>
      </c>
      <c r="AC34" s="6">
        <f t="shared" si="11"/>
        <v>9.7590627763041615E-2</v>
      </c>
      <c r="AD34" s="6">
        <f t="shared" si="11"/>
        <v>-5.1354344980364397E-3</v>
      </c>
      <c r="AE34" s="6">
        <f t="shared" si="11"/>
        <v>4.6558704453441235E-2</v>
      </c>
      <c r="AF34" s="6">
        <f t="shared" si="11"/>
        <v>1.5377176015473948E-2</v>
      </c>
      <c r="AG34" s="6">
        <f t="shared" si="11"/>
        <v>6.1720163825126129E-2</v>
      </c>
      <c r="AH34" s="6">
        <f t="shared" si="11"/>
        <v>2.5118866062617817E-2</v>
      </c>
      <c r="AI34" s="6">
        <f t="shared" si="11"/>
        <v>4.3756016452263236E-3</v>
      </c>
      <c r="AJ34" s="6"/>
      <c r="AK34" s="6"/>
      <c r="AL34" s="6"/>
      <c r="AM34" s="6"/>
    </row>
    <row r="35" spans="2:43" x14ac:dyDescent="0.2">
      <c r="W35" s="6"/>
      <c r="X35" s="7"/>
      <c r="Y35" s="7"/>
      <c r="Z35" s="7"/>
      <c r="AA35" s="7"/>
      <c r="AB35" s="7"/>
      <c r="AC35" s="7"/>
      <c r="AD35" s="7"/>
      <c r="AE35" s="7"/>
      <c r="AF35" s="7"/>
      <c r="AG35" s="6"/>
    </row>
    <row r="36" spans="2:43" s="29" customFormat="1" x14ac:dyDescent="0.2">
      <c r="B36" s="39" t="s">
        <v>129</v>
      </c>
      <c r="D36" s="29">
        <v>0.90700000000000003</v>
      </c>
      <c r="E36" s="29">
        <v>0.86099999999999999</v>
      </c>
      <c r="F36" s="29">
        <v>0.85299999999999998</v>
      </c>
      <c r="G36" s="29">
        <v>0.874</v>
      </c>
      <c r="H36" s="29">
        <v>0.84599999999999997</v>
      </c>
      <c r="I36" s="29">
        <v>0.85299999999999998</v>
      </c>
      <c r="J36" s="29">
        <v>0.85599999999999998</v>
      </c>
      <c r="K36" s="29">
        <v>0.86299999999999999</v>
      </c>
      <c r="L36" s="29">
        <v>0.86</v>
      </c>
      <c r="M36" s="29">
        <v>0.86299999999999999</v>
      </c>
      <c r="N36" s="29">
        <v>0.82299999999999995</v>
      </c>
      <c r="O36" s="29">
        <v>0.85899999999999999</v>
      </c>
      <c r="P36" s="29">
        <v>0.90800000000000003</v>
      </c>
      <c r="Q36" s="29">
        <v>0.86799999999999999</v>
      </c>
      <c r="R36" s="29">
        <v>0.88400000000000001</v>
      </c>
      <c r="S36" s="29">
        <v>0.88900000000000001</v>
      </c>
      <c r="T36" s="29">
        <v>0.88800000000000001</v>
      </c>
      <c r="U36" s="29">
        <v>0.871</v>
      </c>
      <c r="V36" s="29">
        <v>0.88100000000000001</v>
      </c>
      <c r="W36" s="29">
        <v>0.88400000000000001</v>
      </c>
      <c r="X36" s="45">
        <v>0.88300000000000001</v>
      </c>
      <c r="Y36" s="45">
        <v>0.871</v>
      </c>
      <c r="Z36" s="45">
        <v>0.875</v>
      </c>
      <c r="AA36" s="45">
        <v>0.88700000000000001</v>
      </c>
      <c r="AB36" s="45">
        <v>0.89100000000000001</v>
      </c>
      <c r="AC36" s="45">
        <v>0.88500000000000001</v>
      </c>
      <c r="AD36" s="45">
        <v>0.88600000000000001</v>
      </c>
      <c r="AE36" s="45">
        <v>0.89200000000000002</v>
      </c>
      <c r="AF36" s="45">
        <v>0.90200000000000002</v>
      </c>
      <c r="AG36" s="29">
        <v>0.89200000000000002</v>
      </c>
      <c r="AH36" s="29">
        <v>0.90400000000000003</v>
      </c>
      <c r="AI36" s="29">
        <v>0.92600000000000005</v>
      </c>
    </row>
    <row r="37" spans="2:43" s="29" customFormat="1" x14ac:dyDescent="0.2">
      <c r="B37" s="39" t="s">
        <v>120</v>
      </c>
      <c r="D37" s="39" t="s">
        <v>40</v>
      </c>
      <c r="E37" s="39" t="s">
        <v>40</v>
      </c>
      <c r="F37" s="29">
        <v>6.2E-2</v>
      </c>
      <c r="G37" s="29">
        <v>5.5E-2</v>
      </c>
      <c r="H37" s="39" t="s">
        <v>40</v>
      </c>
      <c r="I37" s="39" t="s">
        <v>40</v>
      </c>
      <c r="J37" s="29">
        <v>6.0999999999999999E-2</v>
      </c>
      <c r="K37" s="29">
        <v>5.5E-2</v>
      </c>
      <c r="L37" s="39" t="s">
        <v>40</v>
      </c>
      <c r="M37" s="29">
        <v>3.9E-2</v>
      </c>
      <c r="N37" s="29">
        <v>0.06</v>
      </c>
      <c r="O37" s="29">
        <v>3.6999999999999998E-2</v>
      </c>
      <c r="P37" s="39" t="s">
        <v>40</v>
      </c>
      <c r="Q37" s="29">
        <v>3.5000000000000003E-2</v>
      </c>
      <c r="R37" s="29">
        <v>2.7E-2</v>
      </c>
      <c r="S37" s="29">
        <v>0.02</v>
      </c>
      <c r="T37" s="29">
        <v>1.4E-2</v>
      </c>
      <c r="U37" s="29">
        <v>3.3000000000000002E-2</v>
      </c>
      <c r="V37" s="29">
        <v>3.1E-2</v>
      </c>
      <c r="W37" s="29">
        <v>2.9000000000000001E-2</v>
      </c>
      <c r="X37" s="29">
        <v>7.0000000000000001E-3</v>
      </c>
      <c r="Y37" s="29">
        <v>3.9E-2</v>
      </c>
      <c r="Z37" s="29">
        <v>3.6999999999999998E-2</v>
      </c>
      <c r="AA37" s="29">
        <v>2.9000000000000001E-2</v>
      </c>
      <c r="AB37" s="29">
        <v>2.4E-2</v>
      </c>
      <c r="AC37" s="29">
        <v>0.03</v>
      </c>
      <c r="AD37" s="29">
        <v>0.03</v>
      </c>
      <c r="AE37" s="29">
        <v>3.2000000000000001E-2</v>
      </c>
      <c r="AF37" s="29">
        <v>2.4E-2</v>
      </c>
      <c r="AG37" s="29">
        <v>2.7E-2</v>
      </c>
      <c r="AH37" s="29">
        <v>2.1999999999999999E-2</v>
      </c>
      <c r="AI37" s="29">
        <v>7.0000000000000001E-3</v>
      </c>
    </row>
    <row r="38" spans="2:43" s="29" customFormat="1" x14ac:dyDescent="0.2">
      <c r="B38" s="39" t="s">
        <v>121</v>
      </c>
      <c r="D38" s="29">
        <v>-5.2999999999999999E-2</v>
      </c>
      <c r="E38" s="29">
        <v>2.3E-2</v>
      </c>
      <c r="F38" s="29">
        <v>4.1000000000000002E-2</v>
      </c>
      <c r="G38" s="29">
        <v>4.2000000000000003E-2</v>
      </c>
      <c r="H38" s="29">
        <v>4.2999999999999997E-2</v>
      </c>
      <c r="I38" s="29">
        <v>4.8000000000000001E-2</v>
      </c>
      <c r="J38" s="29">
        <v>4.7E-2</v>
      </c>
      <c r="K38" s="29">
        <v>4.1000000000000002E-2</v>
      </c>
      <c r="L38" s="29">
        <v>3.9E-2</v>
      </c>
      <c r="M38" s="29">
        <v>0.04</v>
      </c>
      <c r="N38" s="29">
        <v>6.2E-2</v>
      </c>
      <c r="O38" s="29">
        <v>0.04</v>
      </c>
      <c r="P38" s="29">
        <v>6.0000000000000001E-3</v>
      </c>
      <c r="Q38" s="29">
        <v>0.04</v>
      </c>
      <c r="R38" s="29">
        <v>2.9000000000000001E-2</v>
      </c>
      <c r="S38" s="29">
        <v>2.3E-2</v>
      </c>
      <c r="T38" s="29">
        <v>2.3E-2</v>
      </c>
      <c r="U38" s="29">
        <v>3.6999999999999998E-2</v>
      </c>
      <c r="V38" s="29">
        <v>3.3000000000000002E-2</v>
      </c>
      <c r="W38" s="29">
        <v>3.2000000000000001E-2</v>
      </c>
      <c r="X38" s="29">
        <v>2.9000000000000001E-2</v>
      </c>
      <c r="Y38" s="29">
        <v>4.1000000000000002E-2</v>
      </c>
      <c r="Z38" s="29">
        <v>3.9E-2</v>
      </c>
      <c r="AA38" s="29">
        <v>3.4000000000000002E-2</v>
      </c>
      <c r="AB38" s="29">
        <v>2.8000000000000001E-2</v>
      </c>
      <c r="AC38" s="29">
        <v>3.4000000000000002E-2</v>
      </c>
      <c r="AD38" s="29">
        <v>3.5000000000000003E-2</v>
      </c>
      <c r="AE38" s="29">
        <v>3.4000000000000002E-2</v>
      </c>
      <c r="AF38" s="29">
        <v>2.7E-2</v>
      </c>
      <c r="AG38" s="29">
        <v>0.03</v>
      </c>
      <c r="AH38" s="29">
        <v>2.5999999999999999E-2</v>
      </c>
      <c r="AI38" s="29">
        <v>8.0000000000000002E-3</v>
      </c>
    </row>
    <row r="39" spans="2:43" x14ac:dyDescent="0.2">
      <c r="B39" s="31"/>
    </row>
    <row r="40" spans="2:43" s="8" customFormat="1" ht="15" x14ac:dyDescent="0.25">
      <c r="B40" s="28" t="s">
        <v>24</v>
      </c>
      <c r="C40" s="28"/>
      <c r="D40" s="26">
        <v>-153</v>
      </c>
      <c r="E40" s="26">
        <v>394</v>
      </c>
      <c r="F40" s="26">
        <v>-80</v>
      </c>
      <c r="G40" s="26">
        <v>-505</v>
      </c>
      <c r="H40" s="26">
        <v>-123</v>
      </c>
      <c r="I40" s="26">
        <v>249</v>
      </c>
      <c r="J40" s="26">
        <v>-93</v>
      </c>
      <c r="K40" s="26">
        <v>242</v>
      </c>
      <c r="L40" s="26">
        <v>36</v>
      </c>
      <c r="M40" s="26">
        <v>143</v>
      </c>
      <c r="N40" s="26">
        <v>614</v>
      </c>
      <c r="O40" s="26">
        <v>-158</v>
      </c>
      <c r="P40" s="26">
        <v>1299</v>
      </c>
      <c r="Q40" s="26">
        <v>568</v>
      </c>
      <c r="R40" s="26">
        <v>493</v>
      </c>
      <c r="S40" s="26">
        <v>461</v>
      </c>
      <c r="T40" s="26">
        <v>597</v>
      </c>
      <c r="U40" s="26">
        <v>363</v>
      </c>
      <c r="V40" s="26">
        <v>368</v>
      </c>
      <c r="W40" s="26">
        <v>254</v>
      </c>
      <c r="X40" s="26">
        <v>-212</v>
      </c>
      <c r="Y40" s="26">
        <v>916</v>
      </c>
      <c r="Z40" s="26">
        <v>487</v>
      </c>
      <c r="AA40" s="26">
        <v>949</v>
      </c>
      <c r="AB40" s="26">
        <v>-690</v>
      </c>
      <c r="AC40" s="26">
        <v>214</v>
      </c>
      <c r="AD40" s="26">
        <v>-219</v>
      </c>
      <c r="AE40" s="26">
        <v>873</v>
      </c>
      <c r="AF40" s="26">
        <v>-224</v>
      </c>
      <c r="AG40" s="26">
        <v>190</v>
      </c>
      <c r="AH40" s="26">
        <v>-302</v>
      </c>
      <c r="AI40" s="26">
        <v>-125</v>
      </c>
    </row>
    <row r="41" spans="2:43" x14ac:dyDescent="0.2">
      <c r="B41" s="25" t="s">
        <v>23</v>
      </c>
      <c r="C41" s="25"/>
      <c r="D41" s="30">
        <v>1</v>
      </c>
      <c r="E41" s="30">
        <v>4</v>
      </c>
      <c r="F41" s="30">
        <v>10</v>
      </c>
      <c r="G41" s="30">
        <v>10</v>
      </c>
      <c r="H41" s="30">
        <v>6</v>
      </c>
      <c r="I41" s="30">
        <v>6</v>
      </c>
      <c r="J41" s="30">
        <v>14</v>
      </c>
      <c r="K41" s="30">
        <v>10</v>
      </c>
      <c r="L41" s="30">
        <v>27</v>
      </c>
      <c r="M41" s="30">
        <v>21</v>
      </c>
      <c r="N41" s="30">
        <v>24</v>
      </c>
      <c r="O41" s="30">
        <v>19</v>
      </c>
      <c r="P41" s="30">
        <v>10</v>
      </c>
      <c r="Q41" s="30">
        <v>16</v>
      </c>
      <c r="R41" s="30">
        <v>13</v>
      </c>
      <c r="S41" s="30">
        <v>27</v>
      </c>
      <c r="T41" s="30">
        <v>21</v>
      </c>
      <c r="U41" s="30">
        <v>23</v>
      </c>
      <c r="V41" s="30">
        <v>27</v>
      </c>
      <c r="W41" s="30">
        <v>31</v>
      </c>
      <c r="X41" s="30">
        <v>10</v>
      </c>
      <c r="Y41" s="30">
        <v>32</v>
      </c>
      <c r="Z41" s="30">
        <v>31</v>
      </c>
      <c r="AA41" s="30">
        <v>26</v>
      </c>
      <c r="AB41" s="30">
        <v>-5</v>
      </c>
      <c r="AC41" s="30">
        <v>27</v>
      </c>
      <c r="AD41" s="30">
        <v>27</v>
      </c>
      <c r="AE41" s="30">
        <v>35</v>
      </c>
      <c r="AF41" s="30">
        <v>11</v>
      </c>
      <c r="AG41" s="30">
        <v>22</v>
      </c>
      <c r="AH41" s="30">
        <v>42</v>
      </c>
      <c r="AI41" s="30">
        <v>38</v>
      </c>
    </row>
    <row r="42" spans="2:43" s="8" customFormat="1" ht="15" x14ac:dyDescent="0.25">
      <c r="B42" s="28" t="s">
        <v>12</v>
      </c>
      <c r="D42" s="8">
        <f t="shared" ref="D42:P42" si="12">D40-D41</f>
        <v>-154</v>
      </c>
      <c r="E42" s="8">
        <f t="shared" si="12"/>
        <v>390</v>
      </c>
      <c r="F42" s="8">
        <f t="shared" si="12"/>
        <v>-90</v>
      </c>
      <c r="G42" s="8">
        <f t="shared" si="12"/>
        <v>-515</v>
      </c>
      <c r="H42" s="8">
        <f t="shared" si="12"/>
        <v>-129</v>
      </c>
      <c r="I42" s="8">
        <f t="shared" si="12"/>
        <v>243</v>
      </c>
      <c r="J42" s="8">
        <f t="shared" si="12"/>
        <v>-107</v>
      </c>
      <c r="K42" s="8">
        <f t="shared" si="12"/>
        <v>232</v>
      </c>
      <c r="L42" s="8">
        <f t="shared" si="12"/>
        <v>9</v>
      </c>
      <c r="M42" s="8">
        <f t="shared" si="12"/>
        <v>122</v>
      </c>
      <c r="N42" s="8">
        <f t="shared" si="12"/>
        <v>590</v>
      </c>
      <c r="O42" s="8">
        <f t="shared" si="12"/>
        <v>-177</v>
      </c>
      <c r="P42" s="8">
        <f t="shared" si="12"/>
        <v>1289</v>
      </c>
      <c r="Q42" s="8">
        <f t="shared" ref="Q42:AH42" si="13">Q40-Q41</f>
        <v>552</v>
      </c>
      <c r="R42" s="8">
        <f t="shared" si="13"/>
        <v>480</v>
      </c>
      <c r="S42" s="8">
        <f t="shared" si="13"/>
        <v>434</v>
      </c>
      <c r="T42" s="8">
        <f t="shared" si="13"/>
        <v>576</v>
      </c>
      <c r="U42" s="8">
        <f t="shared" si="13"/>
        <v>340</v>
      </c>
      <c r="V42" s="8">
        <f t="shared" si="13"/>
        <v>341</v>
      </c>
      <c r="W42" s="8">
        <f t="shared" si="13"/>
        <v>223</v>
      </c>
      <c r="X42" s="8">
        <f t="shared" si="13"/>
        <v>-222</v>
      </c>
      <c r="Y42" s="8">
        <f t="shared" si="13"/>
        <v>884</v>
      </c>
      <c r="Z42" s="8">
        <f t="shared" si="13"/>
        <v>456</v>
      </c>
      <c r="AA42" s="8">
        <f t="shared" si="13"/>
        <v>923</v>
      </c>
      <c r="AB42" s="8">
        <f t="shared" si="13"/>
        <v>-685</v>
      </c>
      <c r="AC42" s="8">
        <f t="shared" si="13"/>
        <v>187</v>
      </c>
      <c r="AD42" s="8">
        <f t="shared" si="13"/>
        <v>-246</v>
      </c>
      <c r="AE42" s="8">
        <f t="shared" si="13"/>
        <v>838</v>
      </c>
      <c r="AF42" s="8">
        <f t="shared" si="13"/>
        <v>-235</v>
      </c>
      <c r="AG42" s="8">
        <f t="shared" si="13"/>
        <v>168</v>
      </c>
      <c r="AH42" s="8">
        <f t="shared" si="13"/>
        <v>-344</v>
      </c>
      <c r="AI42" s="8">
        <f>AI40-AI41</f>
        <v>-163</v>
      </c>
      <c r="AJ42" s="8">
        <f>AJ40-AJ41</f>
        <v>0</v>
      </c>
    </row>
    <row r="43" spans="2:43" x14ac:dyDescent="0.2">
      <c r="B43" s="25"/>
      <c r="W43" s="26"/>
      <c r="X43" s="26"/>
      <c r="Y43" s="26"/>
      <c r="Z43" s="26"/>
      <c r="AA43" s="26"/>
      <c r="AB43" s="26"/>
      <c r="AC43" s="26"/>
    </row>
    <row r="44" spans="2:43" x14ac:dyDescent="0.2">
      <c r="B44" s="25" t="s">
        <v>32</v>
      </c>
      <c r="D44" s="6" t="s">
        <v>40</v>
      </c>
      <c r="E44" s="6" t="s">
        <v>40</v>
      </c>
      <c r="F44" s="6" t="s">
        <v>40</v>
      </c>
      <c r="G44" s="6" t="e">
        <f>IF(#REF!=0,IF(G42=0,0,NA()),(G42-#REF!)/ABS(#REF!))</f>
        <v>#REF!</v>
      </c>
      <c r="H44" s="6">
        <f t="shared" ref="H44" si="14">IF(D42=0,IF(H42=0,0,NA()),(H42-D42)/ABS(D42))</f>
        <v>0.16233766233766234</v>
      </c>
      <c r="I44" s="6">
        <f t="shared" ref="I44" si="15">IF(E42=0,IF(I42=0,0,NA()),(I42-E42)/ABS(E42))</f>
        <v>-0.37692307692307692</v>
      </c>
      <c r="J44" s="6">
        <f t="shared" ref="J44" si="16">IF(F42=0,IF(J42=0,0,NA()),(J42-F42)/ABS(F42))</f>
        <v>-0.18888888888888888</v>
      </c>
      <c r="K44" s="6">
        <f t="shared" ref="K44" si="17">IF(G42=0,IF(K42=0,0,NA()),(K42-G42)/ABS(G42))</f>
        <v>1.4504854368932039</v>
      </c>
      <c r="L44" s="6">
        <f t="shared" ref="L44" si="18">IF(H42=0,IF(L42=0,0,NA()),(L42-H42)/ABS(H42))</f>
        <v>1.069767441860465</v>
      </c>
      <c r="M44" s="6">
        <f t="shared" ref="M44" si="19">IF(I42=0,IF(M42=0,0,NA()),(M42-I42)/ABS(I42))</f>
        <v>-0.49794238683127573</v>
      </c>
      <c r="N44" s="6">
        <f t="shared" ref="N44" si="20">IF(J42=0,IF(N42=0,0,NA()),(N42-J42)/ABS(J42))</f>
        <v>6.5140186915887854</v>
      </c>
      <c r="O44" s="6">
        <f t="shared" ref="O44" si="21">IF(K42=0,IF(O42=0,0,NA()),(O42-K42)/ABS(K42))</f>
        <v>-1.7629310344827587</v>
      </c>
      <c r="P44" s="6">
        <f t="shared" ref="P44" si="22">IF(L42=0,IF(P42=0,0,NA()),(P42-L42)/ABS(L42))</f>
        <v>142.22222222222223</v>
      </c>
      <c r="Q44" s="6">
        <f t="shared" ref="Q44" si="23">IF(M42=0,IF(Q42=0,0,NA()),(Q42-M42)/ABS(M42))</f>
        <v>3.5245901639344264</v>
      </c>
      <c r="R44" s="6">
        <f t="shared" ref="R44" si="24">IF(N42=0,IF(R42=0,0,NA()),(R42-N42)/ABS(N42))</f>
        <v>-0.1864406779661017</v>
      </c>
      <c r="S44" s="6">
        <f t="shared" ref="S44" si="25">IF(O42=0,IF(S42=0,0,NA()),(S42-O42)/ABS(O42))</f>
        <v>3.4519774011299433</v>
      </c>
      <c r="T44" s="6">
        <f t="shared" ref="T44" si="26">IF(P42=0,IF(T42=0,0,NA()),(T42-P42)/ABS(P42))</f>
        <v>-0.55314197051978276</v>
      </c>
      <c r="U44" s="6">
        <f t="shared" ref="U44" si="27">IF(Q42=0,IF(U42=0,0,NA()),(U42-Q42)/ABS(Q42))</f>
        <v>-0.38405797101449274</v>
      </c>
      <c r="V44" s="6">
        <f t="shared" ref="V44" si="28">IF(R42=0,IF(V42=0,0,NA()),(V42-R42)/ABS(R42))</f>
        <v>-0.28958333333333336</v>
      </c>
      <c r="W44" s="6">
        <f t="shared" ref="W44" si="29">IF(S42=0,IF(W42=0,0,NA()),(W42-S42)/ABS(S42))</f>
        <v>-0.48617511520737328</v>
      </c>
      <c r="X44" s="6">
        <f t="shared" ref="X44" si="30">IF(T42=0,IF(X42=0,0,NA()),(X42-T42)/ABS(T42))</f>
        <v>-1.3854166666666667</v>
      </c>
      <c r="Y44" s="6">
        <f t="shared" ref="Y44:AF44" si="31">IF(U42=0,IF(Y42=0,0,NA()),(Y42-U42)/ABS(U42))</f>
        <v>1.6</v>
      </c>
      <c r="Z44" s="6">
        <f t="shared" si="31"/>
        <v>0.33724340175953077</v>
      </c>
      <c r="AA44" s="6">
        <f t="shared" si="31"/>
        <v>3.1390134529147984</v>
      </c>
      <c r="AB44" s="6">
        <f t="shared" si="31"/>
        <v>-2.0855855855855854</v>
      </c>
      <c r="AC44" s="6">
        <f t="shared" si="31"/>
        <v>-0.78846153846153844</v>
      </c>
      <c r="AD44" s="6">
        <f t="shared" si="31"/>
        <v>-1.5394736842105263</v>
      </c>
      <c r="AE44" s="6">
        <f t="shared" si="31"/>
        <v>-9.2091007583965337E-2</v>
      </c>
      <c r="AF44" s="6">
        <f t="shared" si="31"/>
        <v>0.65693430656934304</v>
      </c>
      <c r="AG44" s="6">
        <f>IF(AC42=0,IF(AG42=0,0,NA()),(AG42-AC42)/ABS(AC42))</f>
        <v>-0.10160427807486631</v>
      </c>
      <c r="AH44" s="6">
        <f>IF(AD42=0,IF(AH42=0,0,NA()),(AH42-AD42)/ABS(AD42))</f>
        <v>-0.3983739837398374</v>
      </c>
    </row>
    <row r="46" spans="2:43" ht="15" thickBot="1" x14ac:dyDescent="0.25">
      <c r="B46" s="25"/>
      <c r="X46" s="10"/>
    </row>
    <row r="47" spans="2:43" x14ac:dyDescent="0.2">
      <c r="B47" s="11" t="s">
        <v>33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H47" s="13"/>
      <c r="AI47" s="41" t="s">
        <v>158</v>
      </c>
      <c r="AJ47" s="12"/>
      <c r="AK47" s="12"/>
      <c r="AL47" s="12"/>
      <c r="AM47" s="12"/>
      <c r="AN47" s="12"/>
      <c r="AO47" s="12"/>
      <c r="AP47" s="12"/>
      <c r="AQ47" s="14"/>
    </row>
    <row r="48" spans="2:43" x14ac:dyDescent="0.2">
      <c r="B48" s="15"/>
      <c r="AI48" s="31" t="s">
        <v>159</v>
      </c>
      <c r="AQ48" s="16"/>
    </row>
    <row r="49" spans="2:43" x14ac:dyDescent="0.2">
      <c r="B49" s="15"/>
      <c r="AH49" s="17"/>
      <c r="AI49" s="43" t="s">
        <v>160</v>
      </c>
      <c r="AQ49" s="16"/>
    </row>
    <row r="50" spans="2:43" ht="15" thickBot="1" x14ac:dyDescent="0.25">
      <c r="B50" s="18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44" t="s">
        <v>161</v>
      </c>
      <c r="AJ50" s="19"/>
      <c r="AK50" s="19"/>
      <c r="AL50" s="19"/>
      <c r="AM50" s="19"/>
      <c r="AN50" s="19"/>
      <c r="AO50" s="19"/>
      <c r="AP50" s="19"/>
      <c r="AQ50" s="20"/>
    </row>
    <row r="51" spans="2:43" ht="15" thickBot="1" x14ac:dyDescent="0.25">
      <c r="AI51" s="31" t="s">
        <v>162</v>
      </c>
    </row>
    <row r="52" spans="2:43" x14ac:dyDescent="0.2">
      <c r="B52" s="11" t="s">
        <v>35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41" t="s">
        <v>216</v>
      </c>
      <c r="R52" s="12"/>
      <c r="S52" s="12"/>
      <c r="T52" s="12"/>
      <c r="U52" s="12"/>
      <c r="V52" s="12"/>
      <c r="W52" s="12"/>
      <c r="X52" s="12"/>
      <c r="Y52" s="12"/>
      <c r="Z52" s="12"/>
      <c r="AB52" s="12"/>
      <c r="AC52" s="12"/>
      <c r="AD52" s="41" t="s">
        <v>219</v>
      </c>
      <c r="AE52" s="12"/>
      <c r="AF52" s="12"/>
      <c r="AI52" s="31" t="s">
        <v>163</v>
      </c>
    </row>
    <row r="53" spans="2:43" x14ac:dyDescent="0.2">
      <c r="B53" s="15"/>
      <c r="Q53" s="31" t="s">
        <v>218</v>
      </c>
      <c r="AA53" s="31" t="s">
        <v>213</v>
      </c>
      <c r="AG53" s="31" t="s">
        <v>164</v>
      </c>
    </row>
    <row r="54" spans="2:43" x14ac:dyDescent="0.2">
      <c r="B54" s="15"/>
      <c r="Q54" s="25"/>
      <c r="R54" s="25"/>
      <c r="S54" s="25"/>
      <c r="T54" s="25"/>
      <c r="U54" s="25"/>
      <c r="V54" s="25"/>
      <c r="W54" s="26"/>
      <c r="X54" s="26"/>
      <c r="Y54" s="26"/>
      <c r="Z54" s="26"/>
      <c r="AA54" s="26"/>
      <c r="AB54" s="26" t="s">
        <v>214</v>
      </c>
      <c r="AC54" s="26"/>
      <c r="AD54" s="26"/>
      <c r="AF54" s="9"/>
    </row>
    <row r="55" spans="2:43" x14ac:dyDescent="0.2">
      <c r="B55" s="15"/>
      <c r="T55" s="31" t="s">
        <v>215</v>
      </c>
    </row>
    <row r="56" spans="2:43" ht="15" thickBot="1" x14ac:dyDescent="0.25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44" t="s">
        <v>217</v>
      </c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</row>
    <row r="57" spans="2:43" ht="15" thickBot="1" x14ac:dyDescent="0.25"/>
    <row r="58" spans="2:43" x14ac:dyDescent="0.2">
      <c r="B58" s="11"/>
      <c r="C58" s="12"/>
    </row>
    <row r="59" spans="2:43" x14ac:dyDescent="0.2">
      <c r="B59" s="15"/>
    </row>
    <row r="60" spans="2:43" x14ac:dyDescent="0.2">
      <c r="B60" s="15"/>
    </row>
    <row r="61" spans="2:43" x14ac:dyDescent="0.2">
      <c r="B61" s="15"/>
    </row>
    <row r="62" spans="2:43" ht="15" thickBot="1" x14ac:dyDescent="0.25">
      <c r="B62" s="18"/>
      <c r="C62" s="19"/>
    </row>
    <row r="63" spans="2:43" ht="15" thickBot="1" x14ac:dyDescent="0.25"/>
    <row r="64" spans="2:43" ht="15" customHeight="1" x14ac:dyDescent="0.2">
      <c r="B64" s="40" t="s">
        <v>123</v>
      </c>
      <c r="C64" s="62" t="s">
        <v>124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4"/>
    </row>
    <row r="65" spans="2:43" ht="15" customHeight="1" x14ac:dyDescent="0.2">
      <c r="B65" s="15"/>
      <c r="C65" s="61" t="s">
        <v>125</v>
      </c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60"/>
    </row>
    <row r="66" spans="2:43" ht="15" customHeight="1" x14ac:dyDescent="0.2">
      <c r="B66" s="15"/>
      <c r="C66" s="61" t="s">
        <v>126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60"/>
    </row>
    <row r="67" spans="2:43" ht="15" customHeight="1" x14ac:dyDescent="0.2">
      <c r="B67" s="15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60"/>
    </row>
    <row r="68" spans="2:43" ht="15" customHeight="1" x14ac:dyDescent="0.2">
      <c r="B68" s="15"/>
      <c r="C68" s="61" t="s">
        <v>127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60"/>
    </row>
    <row r="69" spans="2:43" ht="15" customHeight="1" x14ac:dyDescent="0.2">
      <c r="B69" s="15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60"/>
    </row>
    <row r="70" spans="2:43" ht="15" customHeight="1" x14ac:dyDescent="0.2">
      <c r="B70" s="15"/>
      <c r="C70" s="61" t="s">
        <v>165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60"/>
    </row>
    <row r="71" spans="2:43" ht="15" customHeight="1" x14ac:dyDescent="0.2">
      <c r="B71" s="15"/>
      <c r="C71" s="61" t="s">
        <v>166</v>
      </c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60"/>
    </row>
    <row r="72" spans="2:43" ht="15" customHeight="1" x14ac:dyDescent="0.2">
      <c r="B72" s="15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60"/>
    </row>
    <row r="73" spans="2:43" ht="15" customHeight="1" x14ac:dyDescent="0.2">
      <c r="B73" s="15"/>
      <c r="C73" s="61" t="s">
        <v>167</v>
      </c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60"/>
    </row>
    <row r="74" spans="2:43" ht="15" customHeight="1" x14ac:dyDescent="0.2">
      <c r="B74" s="15"/>
      <c r="C74" s="61" t="s">
        <v>168</v>
      </c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60"/>
    </row>
    <row r="75" spans="2:43" ht="15.75" customHeight="1" x14ac:dyDescent="0.2">
      <c r="B75" s="15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60"/>
    </row>
    <row r="76" spans="2:43" ht="15" customHeight="1" x14ac:dyDescent="0.2">
      <c r="B76" s="15"/>
      <c r="C76" s="61" t="s">
        <v>169</v>
      </c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60"/>
    </row>
    <row r="77" spans="2:43" ht="15" customHeight="1" x14ac:dyDescent="0.2">
      <c r="B77" s="15"/>
      <c r="C77" s="31" t="s">
        <v>170</v>
      </c>
    </row>
    <row r="78" spans="2:43" ht="15" customHeight="1" x14ac:dyDescent="0.2">
      <c r="B78" s="15"/>
      <c r="C78" s="61" t="s">
        <v>171</v>
      </c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60"/>
    </row>
    <row r="79" spans="2:43" ht="15" customHeight="1" x14ac:dyDescent="0.2">
      <c r="B79" s="15"/>
      <c r="C79" s="61" t="s">
        <v>172</v>
      </c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60"/>
    </row>
    <row r="80" spans="2:43" ht="15" customHeight="1" x14ac:dyDescent="0.2">
      <c r="B80" s="15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60"/>
    </row>
    <row r="81" spans="2:43" ht="15" customHeight="1" x14ac:dyDescent="0.2">
      <c r="B81" s="15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60"/>
    </row>
    <row r="82" spans="2:43" ht="15" customHeight="1" x14ac:dyDescent="0.2">
      <c r="B82" s="15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60"/>
    </row>
    <row r="83" spans="2:43" ht="15" customHeight="1" x14ac:dyDescent="0.2">
      <c r="B83" s="15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60"/>
    </row>
    <row r="84" spans="2:43" ht="15" customHeight="1" x14ac:dyDescent="0.2">
      <c r="B84" s="15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60"/>
    </row>
    <row r="85" spans="2:43" ht="15" customHeight="1" x14ac:dyDescent="0.2">
      <c r="B85" s="15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60"/>
    </row>
    <row r="86" spans="2:43" ht="15" customHeight="1" x14ac:dyDescent="0.2">
      <c r="B86" s="15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60"/>
    </row>
    <row r="87" spans="2:43" ht="15" customHeight="1" x14ac:dyDescent="0.2">
      <c r="B87" s="15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60"/>
    </row>
    <row r="88" spans="2:43" ht="15" customHeight="1" x14ac:dyDescent="0.2">
      <c r="B88" s="15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60"/>
    </row>
    <row r="89" spans="2:43" ht="15.75" customHeight="1" thickBot="1" x14ac:dyDescent="0.25">
      <c r="B89" s="18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8"/>
    </row>
  </sheetData>
  <dataConsolidate/>
  <mergeCells count="25">
    <mergeCell ref="C64:AQ64"/>
    <mergeCell ref="C65:AQ65"/>
    <mergeCell ref="C76:AQ76"/>
    <mergeCell ref="C78:AQ78"/>
    <mergeCell ref="C75:AQ75"/>
    <mergeCell ref="C66:AQ66"/>
    <mergeCell ref="C67:AQ67"/>
    <mergeCell ref="C68:AQ68"/>
    <mergeCell ref="C69:AQ69"/>
    <mergeCell ref="C70:AQ70"/>
    <mergeCell ref="C71:AQ71"/>
    <mergeCell ref="C72:AQ72"/>
    <mergeCell ref="C73:AQ73"/>
    <mergeCell ref="C74:AQ74"/>
    <mergeCell ref="C79:AQ79"/>
    <mergeCell ref="C80:AQ80"/>
    <mergeCell ref="C81:AQ81"/>
    <mergeCell ref="C82:AQ82"/>
    <mergeCell ref="C83:AQ83"/>
    <mergeCell ref="C89:AQ89"/>
    <mergeCell ref="C84:AQ84"/>
    <mergeCell ref="C85:AQ85"/>
    <mergeCell ref="C86:AQ86"/>
    <mergeCell ref="C87:AQ87"/>
    <mergeCell ref="C88:AQ88"/>
  </mergeCells>
  <hyperlinks>
    <hyperlink ref="A1" location="Main!A1" display="Main" xr:uid="{8700012B-1663-4F72-A9B4-B92390B41D1E}"/>
  </hyperlink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433F-9AC6-4D79-A331-274DD3CD1599}">
  <dimension ref="A1:C29"/>
  <sheetViews>
    <sheetView workbookViewId="0">
      <selection activeCell="A43" sqref="A43"/>
    </sheetView>
  </sheetViews>
  <sheetFormatPr defaultRowHeight="14.25" x14ac:dyDescent="0.2"/>
  <cols>
    <col min="1" max="1" width="69" style="1" bestFit="1" customWidth="1"/>
    <col min="2" max="16384" width="9.140625" style="1"/>
  </cols>
  <sheetData>
    <row r="1" spans="1:3" ht="15" x14ac:dyDescent="0.25">
      <c r="A1" s="8" t="s">
        <v>102</v>
      </c>
      <c r="B1" s="8"/>
    </row>
    <row r="2" spans="1:3" x14ac:dyDescent="0.2">
      <c r="A2" s="31" t="s">
        <v>103</v>
      </c>
      <c r="B2" s="1">
        <v>800</v>
      </c>
    </row>
    <row r="3" spans="1:3" x14ac:dyDescent="0.2">
      <c r="A3" s="31" t="s">
        <v>104</v>
      </c>
      <c r="B3" s="1">
        <v>650</v>
      </c>
    </row>
    <row r="4" spans="1:3" x14ac:dyDescent="0.2">
      <c r="A4" s="31" t="s">
        <v>105</v>
      </c>
      <c r="B4" s="1">
        <v>750</v>
      </c>
    </row>
    <row r="5" spans="1:3" x14ac:dyDescent="0.2">
      <c r="A5" s="31" t="s">
        <v>106</v>
      </c>
      <c r="B5" s="1">
        <v>750</v>
      </c>
    </row>
    <row r="6" spans="1:3" x14ac:dyDescent="0.2">
      <c r="A6" s="31" t="s">
        <v>107</v>
      </c>
      <c r="B6" s="1">
        <v>740</v>
      </c>
    </row>
    <row r="7" spans="1:3" x14ac:dyDescent="0.2">
      <c r="A7" s="31" t="s">
        <v>109</v>
      </c>
      <c r="B7" s="1">
        <v>850</v>
      </c>
      <c r="C7" s="31" t="s">
        <v>111</v>
      </c>
    </row>
    <row r="8" spans="1:3" x14ac:dyDescent="0.2">
      <c r="A8" s="31" t="s">
        <v>110</v>
      </c>
      <c r="B8" s="1">
        <v>0</v>
      </c>
    </row>
    <row r="9" spans="1:3" ht="15" x14ac:dyDescent="0.25">
      <c r="A9" s="8" t="s">
        <v>108</v>
      </c>
      <c r="B9" s="1">
        <v>3800</v>
      </c>
    </row>
    <row r="16" spans="1:3" x14ac:dyDescent="0.2">
      <c r="A16" s="31" t="s">
        <v>112</v>
      </c>
      <c r="B16" s="1">
        <v>83</v>
      </c>
    </row>
    <row r="17" spans="1:2" x14ac:dyDescent="0.2">
      <c r="A17" s="31" t="s">
        <v>113</v>
      </c>
      <c r="B17" s="1">
        <v>218</v>
      </c>
    </row>
    <row r="21" spans="1:2" ht="15" x14ac:dyDescent="0.25">
      <c r="A21" s="8" t="s">
        <v>211</v>
      </c>
    </row>
    <row r="22" spans="1:2" x14ac:dyDescent="0.2">
      <c r="A22" s="31" t="s">
        <v>207</v>
      </c>
      <c r="B22" s="1">
        <v>2750</v>
      </c>
    </row>
    <row r="23" spans="1:2" x14ac:dyDescent="0.2">
      <c r="A23" s="31" t="s">
        <v>208</v>
      </c>
      <c r="B23" s="1">
        <v>980</v>
      </c>
    </row>
    <row r="24" spans="1:2" x14ac:dyDescent="0.2">
      <c r="A24" s="31" t="s">
        <v>209</v>
      </c>
      <c r="B24" s="1">
        <v>440</v>
      </c>
    </row>
    <row r="25" spans="1:2" x14ac:dyDescent="0.2">
      <c r="A25" s="31" t="s">
        <v>206</v>
      </c>
      <c r="B25" s="1">
        <v>210</v>
      </c>
    </row>
    <row r="26" spans="1:2" x14ac:dyDescent="0.2">
      <c r="A26" s="31" t="s">
        <v>210</v>
      </c>
      <c r="B26" s="1">
        <v>10</v>
      </c>
    </row>
    <row r="27" spans="1:2" x14ac:dyDescent="0.2">
      <c r="A27" s="31" t="s">
        <v>69</v>
      </c>
      <c r="B27" s="1">
        <v>5</v>
      </c>
    </row>
    <row r="29" spans="1:2" x14ac:dyDescent="0.2">
      <c r="A29" s="43" t="s">
        <v>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AACC-FEA2-4C5B-AF79-59D39A66A975}">
  <dimension ref="A1:K16"/>
  <sheetViews>
    <sheetView workbookViewId="0">
      <selection activeCell="F14" sqref="F14"/>
    </sheetView>
  </sheetViews>
  <sheetFormatPr defaultRowHeight="14.25" x14ac:dyDescent="0.2"/>
  <cols>
    <col min="1" max="1" width="26.5703125" style="31" bestFit="1" customWidth="1"/>
    <col min="2" max="2" width="7.42578125" style="31" bestFit="1" customWidth="1"/>
    <col min="3" max="3" width="20.5703125" style="31" bestFit="1" customWidth="1"/>
    <col min="4" max="4" width="19.140625" style="31" bestFit="1" customWidth="1"/>
    <col min="5" max="5" width="22" style="31" bestFit="1" customWidth="1"/>
    <col min="6" max="6" width="18.5703125" style="31" bestFit="1" customWidth="1"/>
    <col min="7" max="7" width="13.42578125" style="31" bestFit="1" customWidth="1"/>
    <col min="8" max="8" width="19.140625" style="31" bestFit="1" customWidth="1"/>
    <col min="9" max="9" width="13.42578125" style="31" bestFit="1" customWidth="1"/>
    <col min="10" max="10" width="19.7109375" style="31" bestFit="1" customWidth="1"/>
    <col min="11" max="11" width="13.7109375" style="31" bestFit="1" customWidth="1"/>
    <col min="12" max="16384" width="9.140625" style="31"/>
  </cols>
  <sheetData>
    <row r="1" spans="1:11" ht="15" x14ac:dyDescent="0.2">
      <c r="A1" s="21" t="s">
        <v>73</v>
      </c>
      <c r="B1" s="21" t="s">
        <v>74</v>
      </c>
      <c r="C1" s="21" t="s">
        <v>75</v>
      </c>
      <c r="D1" s="21" t="s">
        <v>76</v>
      </c>
      <c r="E1" s="21" t="s">
        <v>77</v>
      </c>
      <c r="F1" s="21" t="s">
        <v>78</v>
      </c>
      <c r="G1" s="21" t="s">
        <v>79</v>
      </c>
      <c r="H1" s="21" t="s">
        <v>80</v>
      </c>
      <c r="I1" s="21" t="s">
        <v>81</v>
      </c>
      <c r="J1" s="21" t="s">
        <v>45</v>
      </c>
      <c r="K1" s="21" t="s">
        <v>82</v>
      </c>
    </row>
    <row r="2" spans="1:11" ht="15" x14ac:dyDescent="0.2">
      <c r="A2" s="22" t="s">
        <v>83</v>
      </c>
      <c r="B2" s="22" t="s">
        <v>84</v>
      </c>
      <c r="C2" s="22">
        <v>42.8</v>
      </c>
      <c r="D2" s="22">
        <v>1.5</v>
      </c>
      <c r="E2" s="22">
        <v>16.239999999999998</v>
      </c>
      <c r="F2" s="22">
        <v>8.6999999999999993</v>
      </c>
      <c r="G2" s="22">
        <v>11.7</v>
      </c>
      <c r="H2" s="22">
        <v>0.18</v>
      </c>
      <c r="I2" s="22">
        <v>1.72</v>
      </c>
      <c r="J2" s="22">
        <v>4.7</v>
      </c>
      <c r="K2" s="36" t="s">
        <v>85</v>
      </c>
    </row>
    <row r="3" spans="1:11" x14ac:dyDescent="0.2">
      <c r="A3" s="37" t="s">
        <v>86</v>
      </c>
      <c r="B3" s="37" t="s">
        <v>87</v>
      </c>
      <c r="C3" s="37">
        <v>435.2</v>
      </c>
      <c r="D3" s="37">
        <v>29.2</v>
      </c>
      <c r="E3" s="37">
        <v>19.22</v>
      </c>
      <c r="F3" s="37">
        <v>16.3</v>
      </c>
      <c r="G3" s="37">
        <v>18.7</v>
      </c>
      <c r="H3" s="37">
        <v>0.66</v>
      </c>
      <c r="I3" s="37">
        <v>2.97</v>
      </c>
      <c r="J3" s="37">
        <v>11.5</v>
      </c>
      <c r="K3" s="36" t="s">
        <v>88</v>
      </c>
    </row>
    <row r="4" spans="1:11" x14ac:dyDescent="0.2">
      <c r="A4" s="37" t="s">
        <v>89</v>
      </c>
      <c r="B4" s="37" t="s">
        <v>90</v>
      </c>
      <c r="C4" s="37">
        <v>126.4</v>
      </c>
      <c r="D4" s="37">
        <v>3.9</v>
      </c>
      <c r="E4" s="37">
        <v>10.68</v>
      </c>
      <c r="F4" s="37">
        <v>21.9</v>
      </c>
      <c r="G4" s="37">
        <v>17.100000000000001</v>
      </c>
      <c r="H4" s="37">
        <v>0.22</v>
      </c>
      <c r="I4" s="37">
        <v>1.52</v>
      </c>
      <c r="J4" s="37">
        <v>9.3000000000000007</v>
      </c>
      <c r="K4" s="36" t="s">
        <v>91</v>
      </c>
    </row>
    <row r="5" spans="1:11" x14ac:dyDescent="0.2">
      <c r="A5" s="37" t="s">
        <v>100</v>
      </c>
      <c r="B5" s="37" t="s">
        <v>92</v>
      </c>
      <c r="C5" s="37">
        <v>167.7</v>
      </c>
      <c r="D5" s="37">
        <v>3.9</v>
      </c>
      <c r="E5" s="37">
        <v>-10.68</v>
      </c>
      <c r="F5" s="37" t="s">
        <v>101</v>
      </c>
      <c r="G5" s="37">
        <v>15</v>
      </c>
      <c r="H5" s="37">
        <v>0.11</v>
      </c>
      <c r="I5" s="37">
        <v>0.87</v>
      </c>
      <c r="J5" s="37">
        <v>4.8</v>
      </c>
      <c r="K5" s="36" t="s">
        <v>93</v>
      </c>
    </row>
    <row r="6" spans="1:11" x14ac:dyDescent="0.2">
      <c r="A6" s="37" t="s">
        <v>94</v>
      </c>
      <c r="B6" s="37" t="s">
        <v>95</v>
      </c>
      <c r="C6" s="37">
        <v>268.10000000000002</v>
      </c>
      <c r="D6" s="37">
        <v>11.7</v>
      </c>
      <c r="E6" s="37">
        <v>22.63</v>
      </c>
      <c r="F6" s="37">
        <v>12.1</v>
      </c>
      <c r="G6" s="37">
        <v>8.9</v>
      </c>
      <c r="H6" s="37">
        <v>0.27</v>
      </c>
      <c r="I6" s="37">
        <v>1.74</v>
      </c>
      <c r="J6" s="37">
        <v>8.6</v>
      </c>
      <c r="K6" s="36" t="s">
        <v>96</v>
      </c>
    </row>
    <row r="7" spans="1:11" x14ac:dyDescent="0.2">
      <c r="A7" s="37" t="s">
        <v>97</v>
      </c>
      <c r="B7" s="37" t="s">
        <v>98</v>
      </c>
      <c r="C7" s="37">
        <v>194.8</v>
      </c>
      <c r="D7" s="37">
        <v>8.9</v>
      </c>
      <c r="E7" s="37">
        <v>24.39</v>
      </c>
      <c r="F7" s="37">
        <v>13.3</v>
      </c>
      <c r="G7" s="37">
        <v>11.7</v>
      </c>
      <c r="H7" s="37">
        <v>0.38</v>
      </c>
      <c r="I7" s="37">
        <v>1.64</v>
      </c>
      <c r="J7" s="37">
        <v>10.7</v>
      </c>
      <c r="K7" s="36" t="s">
        <v>99</v>
      </c>
    </row>
    <row r="10" spans="1:11" ht="45" x14ac:dyDescent="0.2">
      <c r="A10" s="32" t="s">
        <v>73</v>
      </c>
      <c r="B10" s="32" t="s">
        <v>74</v>
      </c>
      <c r="C10" s="32" t="s">
        <v>132</v>
      </c>
      <c r="D10" s="32" t="s">
        <v>133</v>
      </c>
      <c r="E10" s="32" t="s">
        <v>134</v>
      </c>
      <c r="F10" s="32" t="s">
        <v>148</v>
      </c>
    </row>
    <row r="11" spans="1:11" ht="60" x14ac:dyDescent="0.2">
      <c r="A11" s="34" t="s">
        <v>83</v>
      </c>
      <c r="B11" s="34" t="s">
        <v>84</v>
      </c>
      <c r="C11" s="34" t="s">
        <v>135</v>
      </c>
      <c r="D11" s="33" t="s">
        <v>136</v>
      </c>
      <c r="E11" s="35" t="s">
        <v>137</v>
      </c>
      <c r="F11" s="34" t="s">
        <v>149</v>
      </c>
    </row>
    <row r="12" spans="1:11" ht="45" x14ac:dyDescent="0.2">
      <c r="A12" s="34" t="s">
        <v>86</v>
      </c>
      <c r="B12" s="34" t="s">
        <v>87</v>
      </c>
      <c r="C12" s="35" t="s">
        <v>138</v>
      </c>
      <c r="D12" s="33" t="s">
        <v>136</v>
      </c>
      <c r="E12" s="35" t="s">
        <v>139</v>
      </c>
      <c r="F12" s="34" t="s">
        <v>150</v>
      </c>
    </row>
    <row r="13" spans="1:11" ht="45" x14ac:dyDescent="0.2">
      <c r="A13" s="34" t="s">
        <v>89</v>
      </c>
      <c r="B13" s="34" t="s">
        <v>90</v>
      </c>
      <c r="C13" s="35" t="s">
        <v>140</v>
      </c>
      <c r="D13" s="33" t="s">
        <v>141</v>
      </c>
      <c r="E13" s="35" t="s">
        <v>142</v>
      </c>
      <c r="F13" s="34" t="s">
        <v>151</v>
      </c>
    </row>
    <row r="14" spans="1:11" ht="60" x14ac:dyDescent="0.2">
      <c r="A14" s="34" t="s">
        <v>128</v>
      </c>
      <c r="B14" s="34" t="s">
        <v>92</v>
      </c>
      <c r="C14" s="35" t="s">
        <v>143</v>
      </c>
      <c r="D14" s="33" t="s">
        <v>144</v>
      </c>
      <c r="E14" s="35" t="s">
        <v>145</v>
      </c>
      <c r="F14" s="34" t="s">
        <v>152</v>
      </c>
    </row>
    <row r="15" spans="1:11" ht="60" x14ac:dyDescent="0.2">
      <c r="A15" s="34" t="s">
        <v>94</v>
      </c>
      <c r="B15" s="34" t="s">
        <v>95</v>
      </c>
      <c r="C15" s="35" t="s">
        <v>146</v>
      </c>
      <c r="D15" s="33" t="s">
        <v>147</v>
      </c>
      <c r="E15" s="42">
        <v>0.84799999999999998</v>
      </c>
      <c r="F15" s="34" t="s">
        <v>153</v>
      </c>
    </row>
    <row r="16" spans="1:11" ht="45" x14ac:dyDescent="0.2">
      <c r="A16" s="34" t="s">
        <v>97</v>
      </c>
      <c r="B16" s="34" t="s">
        <v>98</v>
      </c>
      <c r="C16" s="34" t="s">
        <v>154</v>
      </c>
      <c r="D16" s="33" t="s">
        <v>155</v>
      </c>
      <c r="E16" s="35" t="s">
        <v>157</v>
      </c>
      <c r="F16" s="34" t="s">
        <v>156</v>
      </c>
    </row>
  </sheetData>
  <hyperlinks>
    <hyperlink ref="K2" r:id="rId1" tooltip="Molina Healthcare (MOH) Statistics &amp; Valuation" display="https://stockanalysis.com/stocks/moh/statistics/" xr:uid="{F9D70B46-4067-4E82-8BF3-5C3D7321EFF3}"/>
    <hyperlink ref="K3" r:id="rId2" tooltip="UnitedHealth Group (UNH) Statistics &amp; Valuation" display="https://stockanalysis.com/stocks/unh/statistics/" xr:uid="{AA5437DF-6903-4D8D-A1B2-8C4389438D80}"/>
    <hyperlink ref="K4" r:id="rId3" tooltip="Humana (HUM) Statistics &amp; Valuation" display="https://stockanalysis.com/stocks/hum/statistics/" xr:uid="{AF0C1E85-6A18-4AC2-A99E-44F0BF87EBF8}"/>
    <hyperlink ref="K5" r:id="rId4" tooltip="Centene (CNC) Statistics &amp; Valuation" display="https://stockanalysis.com/stocks/cnc/statistics/" xr:uid="{4B1147D6-B4F7-4F23-ACD3-9C2B4D9B15C4}"/>
    <hyperlink ref="K6" r:id="rId5" tooltip="The Cigna Group (CI) Statistics &amp; Valuation" display="https://stockanalysis.com/stocks/ci/statistics/" xr:uid="{E1E7590F-192E-4124-BD61-A4CD9B300F3C}"/>
    <hyperlink ref="K7" r:id="rId6" tooltip="Elevance Health (ELV) Statistics &amp; Valuation" display="https://stockanalysis.com/stocks/elv/statistics/" xr:uid="{1FCF6713-1F6B-47BE-987F-9182F7AEDE39}"/>
    <hyperlink ref="E11" r:id="rId7" tooltip="Molina Healthcare Reports Third Quarter 2025 Financial Results" display="https://investors.molinahealthcare.com/node/24386/pdf?utm_source=chatgpt.com" xr:uid="{9BAD516A-7473-4807-AAAA-C802C4660E07}"/>
    <hyperlink ref="C12" r:id="rId8" tooltip="UnitedHealth posts $2.3B profit for Q3, raises outlook - Becker's Payer Issues | Payer News" display="https://www.beckerspayer.com/financial/unitedhealth-posts-2-3b-profit-for-q3-raises-outlook/" xr:uid="{42A85BB2-E242-45E3-A802-C3A2DFEF5F1D}"/>
    <hyperlink ref="E12" r:id="rId9" tooltip="unh-reports-third-quarter-2025-results-and-raises-full-year- ..." display="https://www.unitedhealthgroup.com/content/dam/UHG/PDF/investors/2025/unh-reports-third-quarter-2025-results-and-raises-full-year-2025-earnings-outlook.pdf?utm_source=chatgpt.com" xr:uid="{700317FD-F0FF-4730-A5B6-620C96BB0E64}"/>
    <hyperlink ref="C13" r:id="rId10" tooltip="Humana posts $195M Q3 profit - Becker's Payer Issues | Payer News" display="https://www.beckerspayer.com/financial/humana-posts-195m-q3-profit/" xr:uid="{24DCAD98-E7AC-4065-98C5-9ACA12DB10A0}"/>
    <hyperlink ref="E13" r:id="rId11" tooltip="Humana Reports Third Quarter 2025 Financial Results" display="https://policy.humana.com/issue-area/news-and-resources/news-press/2025/humana-reports-third-quarter-2025-financial-results--affirms-ful?utm_source=chatgpt.com" xr:uid="{F7A5EC6D-DB1B-415D-A667-3681CACD1EC3}"/>
    <hyperlink ref="C14" r:id="rId12" tooltip="CENTENE CORPORATION REPORTS THIRD QUARTER ..." display="https://investors.centene.com/2025-10-29-CENTENE-CORPORATION-REPORTS-THIRD-QUARTER-2025-RESULTS?utm_source=chatgpt.com" xr:uid="{0AD4F7F4-961B-46F6-9C6F-9EA6E99554D7}"/>
    <hyperlink ref="E14" r:id="rId13" tooltip="CENTENE CORPORATION REPORTS THIRD QUARTER ..." display="https://investors.centene.com/2025-10-29-CENTENE-CORPORATION-REPORTS-THIRD-QUARTER-2025-RESULTS?utm_source=chatgpt.com" xr:uid="{BD847C94-224F-4C95-A0BC-536BD6B65E4D}"/>
    <hyperlink ref="C15" r:id="rId14" tooltip="The Cigna Group Reports Strong Third Quarter 2025 Results, Reaffirms 2025 Adjusted EPS Outlook - Oct 30, 2025" display="https://newsroom.thecignagroup.com/2025-10-30-The-Cigna-Group-Reports-Strong-Third-Quarter-2025-Results%2C-Reaffirms-2025-Adjusted-EPS-Outlook" xr:uid="{20658CF5-5D76-4AF1-A3F0-62A01BC39A34}"/>
    <hyperlink ref="E16" r:id="rId15" tooltip="Elevance Health Reports Third Quarter 2025 Results" display="https://www.elevancehealth.com/newsroom/elv-quarterly-earnings-q3-2025?utm_source=chatgpt.com" xr:uid="{B501CC76-4F61-4013-A813-BA1AFD90E14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1341-7EB0-4324-B694-376A83CF0972}">
  <dimension ref="A1:A58"/>
  <sheetViews>
    <sheetView workbookViewId="0">
      <selection activeCell="I36" sqref="I36"/>
    </sheetView>
  </sheetViews>
  <sheetFormatPr defaultRowHeight="16.5" x14ac:dyDescent="0.25"/>
  <cols>
    <col min="1" max="1" width="16.85546875" style="47" bestFit="1" customWidth="1"/>
    <col min="2" max="16384" width="9.140625" style="47"/>
  </cols>
  <sheetData>
    <row r="1" spans="1:1" x14ac:dyDescent="0.25">
      <c r="A1" s="47" t="s">
        <v>185</v>
      </c>
    </row>
    <row r="2" spans="1:1" x14ac:dyDescent="0.25">
      <c r="A2" s="48"/>
    </row>
    <row r="3" spans="1:1" x14ac:dyDescent="0.25">
      <c r="A3" s="49" t="s">
        <v>173</v>
      </c>
    </row>
    <row r="4" spans="1:1" x14ac:dyDescent="0.25">
      <c r="A4" s="50" t="s">
        <v>186</v>
      </c>
    </row>
    <row r="5" spans="1:1" x14ac:dyDescent="0.25">
      <c r="A5" s="51"/>
    </row>
    <row r="6" spans="1:1" x14ac:dyDescent="0.25">
      <c r="A6" s="50" t="s">
        <v>187</v>
      </c>
    </row>
    <row r="7" spans="1:1" x14ac:dyDescent="0.25">
      <c r="A7" s="51"/>
    </row>
    <row r="8" spans="1:1" x14ac:dyDescent="0.25">
      <c r="A8" s="50" t="s">
        <v>188</v>
      </c>
    </row>
    <row r="9" spans="1:1" x14ac:dyDescent="0.25">
      <c r="A9" s="48"/>
    </row>
    <row r="10" spans="1:1" x14ac:dyDescent="0.25">
      <c r="A10" s="49" t="s">
        <v>174</v>
      </c>
    </row>
    <row r="11" spans="1:1" x14ac:dyDescent="0.25">
      <c r="A11" s="51" t="s">
        <v>189</v>
      </c>
    </row>
    <row r="12" spans="1:1" x14ac:dyDescent="0.25">
      <c r="A12" s="51"/>
    </row>
    <row r="13" spans="1:1" x14ac:dyDescent="0.25">
      <c r="A13" s="51" t="s">
        <v>190</v>
      </c>
    </row>
    <row r="14" spans="1:1" x14ac:dyDescent="0.25">
      <c r="A14" s="48"/>
    </row>
    <row r="15" spans="1:1" x14ac:dyDescent="0.25">
      <c r="A15" s="49" t="s">
        <v>175</v>
      </c>
    </row>
    <row r="16" spans="1:1" x14ac:dyDescent="0.25">
      <c r="A16" s="51" t="s">
        <v>191</v>
      </c>
    </row>
    <row r="17" spans="1:1" x14ac:dyDescent="0.25">
      <c r="A17" s="51"/>
    </row>
    <row r="18" spans="1:1" x14ac:dyDescent="0.25">
      <c r="A18" s="51" t="s">
        <v>192</v>
      </c>
    </row>
    <row r="19" spans="1:1" x14ac:dyDescent="0.25">
      <c r="A19" s="48"/>
    </row>
    <row r="20" spans="1:1" x14ac:dyDescent="0.25">
      <c r="A20" s="49" t="s">
        <v>176</v>
      </c>
    </row>
    <row r="21" spans="1:1" x14ac:dyDescent="0.25">
      <c r="A21" s="51" t="s">
        <v>177</v>
      </c>
    </row>
    <row r="22" spans="1:1" x14ac:dyDescent="0.25">
      <c r="A22" s="52" t="s">
        <v>178</v>
      </c>
    </row>
    <row r="23" spans="1:1" x14ac:dyDescent="0.25">
      <c r="A23" s="53"/>
    </row>
    <row r="24" spans="1:1" x14ac:dyDescent="0.25">
      <c r="A24" s="53" t="s">
        <v>193</v>
      </c>
    </row>
    <row r="25" spans="1:1" x14ac:dyDescent="0.25">
      <c r="A25" s="53"/>
    </row>
    <row r="26" spans="1:1" x14ac:dyDescent="0.25">
      <c r="A26" s="53" t="s">
        <v>194</v>
      </c>
    </row>
    <row r="27" spans="1:1" x14ac:dyDescent="0.25">
      <c r="A27" s="51"/>
    </row>
    <row r="28" spans="1:1" x14ac:dyDescent="0.25">
      <c r="A28" s="51" t="s">
        <v>179</v>
      </c>
    </row>
    <row r="31" spans="1:1" ht="17.25" x14ac:dyDescent="0.3">
      <c r="A31" s="54"/>
    </row>
    <row r="32" spans="1:1" x14ac:dyDescent="0.25">
      <c r="A32" s="55" t="s">
        <v>180</v>
      </c>
    </row>
    <row r="33" spans="1:1" x14ac:dyDescent="0.25">
      <c r="A33" s="48"/>
    </row>
    <row r="34" spans="1:1" x14ac:dyDescent="0.25">
      <c r="A34" s="49" t="s">
        <v>195</v>
      </c>
    </row>
    <row r="35" spans="1:1" x14ac:dyDescent="0.25">
      <c r="A35" s="48"/>
    </row>
    <row r="36" spans="1:1" x14ac:dyDescent="0.25">
      <c r="A36" s="49" t="s">
        <v>205</v>
      </c>
    </row>
    <row r="37" spans="1:1" x14ac:dyDescent="0.25">
      <c r="A37" s="51" t="s">
        <v>196</v>
      </c>
    </row>
    <row r="38" spans="1:1" x14ac:dyDescent="0.25">
      <c r="A38" s="51"/>
    </row>
    <row r="39" spans="1:1" x14ac:dyDescent="0.25">
      <c r="A39" s="51" t="s">
        <v>197</v>
      </c>
    </row>
    <row r="40" spans="1:1" x14ac:dyDescent="0.25">
      <c r="A40" s="48"/>
    </row>
    <row r="41" spans="1:1" x14ac:dyDescent="0.25">
      <c r="A41" s="49" t="s">
        <v>181</v>
      </c>
    </row>
    <row r="42" spans="1:1" x14ac:dyDescent="0.25">
      <c r="A42" s="51" t="s">
        <v>198</v>
      </c>
    </row>
    <row r="43" spans="1:1" x14ac:dyDescent="0.25">
      <c r="A43" s="51"/>
    </row>
    <row r="44" spans="1:1" x14ac:dyDescent="0.25">
      <c r="A44" s="51" t="s">
        <v>199</v>
      </c>
    </row>
    <row r="46" spans="1:1" x14ac:dyDescent="0.25">
      <c r="A46" s="47" t="s">
        <v>182</v>
      </c>
    </row>
    <row r="47" spans="1:1" x14ac:dyDescent="0.25">
      <c r="A47" s="48"/>
    </row>
    <row r="48" spans="1:1" x14ac:dyDescent="0.25">
      <c r="A48" s="48" t="s">
        <v>200</v>
      </c>
    </row>
    <row r="50" spans="1:1" x14ac:dyDescent="0.25">
      <c r="A50" s="55" t="s">
        <v>183</v>
      </c>
    </row>
    <row r="51" spans="1:1" x14ac:dyDescent="0.25">
      <c r="A51" s="48"/>
    </row>
    <row r="52" spans="1:1" x14ac:dyDescent="0.25">
      <c r="A52" s="49" t="s">
        <v>201</v>
      </c>
    </row>
    <row r="53" spans="1:1" x14ac:dyDescent="0.25">
      <c r="A53" s="51" t="s">
        <v>202</v>
      </c>
    </row>
    <row r="54" spans="1:1" x14ac:dyDescent="0.25">
      <c r="A54" s="51"/>
    </row>
    <row r="55" spans="1:1" x14ac:dyDescent="0.25">
      <c r="A55" s="51" t="s">
        <v>203</v>
      </c>
    </row>
    <row r="56" spans="1:1" x14ac:dyDescent="0.25">
      <c r="A56" s="48"/>
    </row>
    <row r="57" spans="1:1" x14ac:dyDescent="0.25">
      <c r="A57" s="49" t="s">
        <v>184</v>
      </c>
    </row>
    <row r="58" spans="1:1" x14ac:dyDescent="0.25">
      <c r="A58" s="51" t="s">
        <v>204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BEE4C9A91F44BB4A4EF8E0A71E02" ma:contentTypeVersion="4" ma:contentTypeDescription="Create a new document." ma:contentTypeScope="" ma:versionID="d4db93f7cdcc50be3ddb7642c8d50e9a">
  <xsd:schema xmlns:xsd="http://www.w3.org/2001/XMLSchema" xmlns:xs="http://www.w3.org/2001/XMLSchema" xmlns:p="http://schemas.microsoft.com/office/2006/metadata/properties" xmlns:ns3="878aac0c-df32-40a9-a231-d93e9c7b9b1a" targetNamespace="http://schemas.microsoft.com/office/2006/metadata/properties" ma:root="true" ma:fieldsID="b63aaf3684aa43c37ed0cc1f5c2cf36e" ns3:_="">
    <xsd:import namespace="878aac0c-df32-40a9-a231-d93e9c7b9b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aac0c-df32-40a9-a231-d93e9c7b9b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A951E8-5D72-42FD-8030-87DD7D8D40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65B96D-4012-4621-9665-52F685045C2D}">
  <ds:schemaRefs>
    <ds:schemaRef ds:uri="878aac0c-df32-40a9-a231-d93e9c7b9b1a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9D266F6-4EBB-4FCE-8CE5-50B9641EB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8aac0c-df32-40a9-a231-d93e9c7b9b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Debt, Investments</vt:lpstr>
      <vt:lpstr>Peer Comparisons</vt:lpstr>
      <vt:lpstr>More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Quach</dc:creator>
  <cp:lastModifiedBy>Joey Chew</cp:lastModifiedBy>
  <dcterms:created xsi:type="dcterms:W3CDTF">2025-03-07T15:54:01Z</dcterms:created>
  <dcterms:modified xsi:type="dcterms:W3CDTF">2025-11-19T18:24:29Z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0x010100C341BEE4C9A91F44BB4A4EF8E0A71E02</vt:lpwstr>
  </property>
</Properties>
</file>