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Emerging Tech\"/>
    </mc:Choice>
  </mc:AlternateContent>
  <xr:revisionPtr revIDLastSave="0" documentId="13_ncr:1_{0CAEC113-5F78-427C-9408-AA7D6AF8A9E1}" xr6:coauthVersionLast="47" xr6:coauthVersionMax="47" xr10:uidLastSave="{00000000-0000-0000-0000-000000000000}"/>
  <bookViews>
    <workbookView xWindow="19095" yWindow="0" windowWidth="19410" windowHeight="20985" activeTab="1" xr2:uid="{74C982A1-EE30-4588-AA95-0E58E4E415F0}"/>
  </bookViews>
  <sheets>
    <sheet name="Main" sheetId="1" r:id="rId1"/>
    <sheet name="Model" sheetId="2" r:id="rId2"/>
    <sheet name="Peer Comparison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2" l="1"/>
  <c r="R30" i="2"/>
  <c r="R16" i="2"/>
  <c r="R13" i="2"/>
  <c r="R9" i="2"/>
  <c r="R21" i="2"/>
  <c r="R20" i="2"/>
  <c r="H32" i="2" l="1"/>
  <c r="I32" i="2"/>
  <c r="E9" i="2"/>
  <c r="D30" i="2"/>
  <c r="E30" i="2"/>
  <c r="E21" i="2"/>
  <c r="F21" i="2"/>
  <c r="H20" i="2"/>
  <c r="I20" i="2"/>
  <c r="D16" i="2"/>
  <c r="E16" i="2"/>
  <c r="D9" i="2"/>
  <c r="D13" i="2" s="1"/>
  <c r="E13" i="2"/>
  <c r="Q30" i="2"/>
  <c r="Q21" i="2"/>
  <c r="Q20" i="2"/>
  <c r="P20" i="2"/>
  <c r="M16" i="2"/>
  <c r="Q16" i="2"/>
  <c r="Q9" i="2"/>
  <c r="Q13" i="2" s="1"/>
  <c r="F30" i="2"/>
  <c r="G30" i="2"/>
  <c r="H30" i="2"/>
  <c r="I30" i="2"/>
  <c r="J30" i="2"/>
  <c r="K30" i="2"/>
  <c r="L30" i="2"/>
  <c r="M30" i="2"/>
  <c r="N30" i="2"/>
  <c r="O30" i="2"/>
  <c r="P30" i="2"/>
  <c r="F16" i="2" l="1"/>
  <c r="G16" i="2"/>
  <c r="H16" i="2"/>
  <c r="I16" i="2"/>
  <c r="J16" i="2"/>
  <c r="K16" i="2"/>
  <c r="L16" i="2"/>
  <c r="N16" i="2"/>
  <c r="O16" i="2"/>
  <c r="P16" i="2"/>
  <c r="F9" i="2" l="1"/>
  <c r="F13" i="2" s="1"/>
  <c r="G9" i="2"/>
  <c r="G13" i="2" s="1"/>
  <c r="I9" i="2"/>
  <c r="I13" i="2" s="1"/>
  <c r="J9" i="2"/>
  <c r="J13" i="2" s="1"/>
  <c r="K9" i="2"/>
  <c r="K13" i="2" s="1"/>
  <c r="L9" i="2"/>
  <c r="L13" i="2" s="1"/>
  <c r="N9" i="2"/>
  <c r="O9" i="2"/>
  <c r="O13" i="2" s="1"/>
  <c r="H9" i="2" l="1"/>
  <c r="H13" i="2" s="1"/>
  <c r="L20" i="2"/>
  <c r="M9" i="2"/>
  <c r="M13" i="2" s="1"/>
  <c r="N21" i="2"/>
  <c r="P9" i="2"/>
  <c r="P13" i="2" s="1"/>
  <c r="P21" i="2"/>
  <c r="G21" i="2"/>
  <c r="H21" i="2"/>
  <c r="I21" i="2"/>
  <c r="J21" i="2"/>
  <c r="K21" i="2"/>
  <c r="L21" i="2"/>
  <c r="M21" i="2"/>
  <c r="O21" i="2"/>
  <c r="P32" i="2"/>
  <c r="J20" i="2"/>
  <c r="K20" i="2"/>
  <c r="M20" i="2"/>
  <c r="N20" i="2"/>
  <c r="O20" i="2"/>
  <c r="Q32" i="2" l="1"/>
  <c r="O32" i="2"/>
  <c r="M32" i="2"/>
  <c r="J32" i="2"/>
  <c r="K32" i="2"/>
  <c r="L32" i="2"/>
  <c r="N32" i="2"/>
  <c r="B6" i="1"/>
  <c r="B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Quach</author>
  </authors>
  <commentList>
    <comment ref="A8" authorId="0" shapeId="0" xr:uid="{9BF3E320-2C8B-452E-893D-8D9DA8F99FD7}">
      <text>
        <r>
          <rPr>
            <b/>
            <sz val="9"/>
            <color indexed="81"/>
            <rFont val="Tahoma"/>
            <charset val="1"/>
          </rPr>
          <t>Alex Quach:</t>
        </r>
        <r>
          <rPr>
            <sz val="9"/>
            <color indexed="81"/>
            <rFont val="Tahoma"/>
            <charset val="1"/>
          </rPr>
          <t xml:space="preserve">
Long Term Debt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</author>
  </authors>
  <commentList>
    <comment ref="N13" authorId="0" shapeId="0" xr:uid="{5644A3FA-81EA-4CBC-AE52-D2EE18469F9B}">
      <text>
        <r>
          <rPr>
            <b/>
            <sz val="9"/>
            <color indexed="81"/>
            <rFont val="Tahoma"/>
            <family val="2"/>
          </rPr>
          <t>Alex:</t>
        </r>
        <r>
          <rPr>
            <sz val="9"/>
            <color indexed="81"/>
            <rFont val="Tahoma"/>
            <family val="2"/>
          </rPr>
          <t xml:space="preserve">
Goodwill impairment of 2695</t>
        </r>
      </text>
    </comment>
    <comment ref="Q26" authorId="0" shapeId="0" xr:uid="{6196957F-4A43-48E3-8017-A35D0E539576}">
      <text>
        <r>
          <rPr>
            <b/>
            <sz val="9"/>
            <color indexed="81"/>
            <rFont val="Tahoma"/>
            <family val="2"/>
          </rPr>
          <t>Alex:</t>
        </r>
        <r>
          <rPr>
            <sz val="9"/>
            <color indexed="81"/>
            <rFont val="Tahoma"/>
            <family val="2"/>
          </rPr>
          <t xml:space="preserve">
Operating Margin + Amortization of acquired intangible assets + share-based compensation expense</t>
        </r>
      </text>
    </comment>
  </commentList>
</comments>
</file>

<file path=xl/sharedStrings.xml><?xml version="1.0" encoding="utf-8"?>
<sst xmlns="http://schemas.openxmlformats.org/spreadsheetml/2006/main" count="165" uniqueCount="154">
  <si>
    <t>Price</t>
  </si>
  <si>
    <t>Symbol:</t>
  </si>
  <si>
    <t>Shares Outstanding</t>
  </si>
  <si>
    <t>Market Cap</t>
  </si>
  <si>
    <t>Debt</t>
  </si>
  <si>
    <t>Q12025</t>
  </si>
  <si>
    <t>(In Millions)</t>
  </si>
  <si>
    <t>Enterprise Value</t>
  </si>
  <si>
    <t>Main</t>
  </si>
  <si>
    <t>Revenue</t>
  </si>
  <si>
    <t>Gross Profit</t>
  </si>
  <si>
    <t>Operating Income</t>
  </si>
  <si>
    <t>Net Income</t>
  </si>
  <si>
    <t>FCF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</si>
  <si>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</si>
  <si>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</si>
  <si>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</si>
  <si>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</si>
  <si>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</si>
  <si>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</si>
  <si>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</si>
  <si>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</si>
  <si>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</si>
  <si>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</si>
  <si>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Capital Expendature</t>
  </si>
  <si>
    <t>Cash Flow from Operations</t>
  </si>
  <si>
    <t>Cash + PPE</t>
  </si>
  <si>
    <t>Book Value</t>
  </si>
  <si>
    <t>Q22025</t>
  </si>
  <si>
    <t>Q32025</t>
  </si>
  <si>
    <t>Q42025</t>
  </si>
  <si>
    <t>Cash Per Share</t>
  </si>
  <si>
    <t>Q12026</t>
  </si>
  <si>
    <t>Cost Of Revenue</t>
  </si>
  <si>
    <t>Diluted EPS</t>
  </si>
  <si>
    <t>Basic EPS</t>
  </si>
  <si>
    <t>Cash Flow Growth</t>
  </si>
  <si>
    <t>Guidance</t>
  </si>
  <si>
    <t>(IN MILLIONS)</t>
  </si>
  <si>
    <t>Events</t>
  </si>
  <si>
    <t>Revenue Growth YOY Q</t>
  </si>
  <si>
    <t>Revenue Growth last Q</t>
  </si>
  <si>
    <t>Income Before taxes</t>
  </si>
  <si>
    <t>Tax</t>
  </si>
  <si>
    <t>Gross Margin</t>
  </si>
  <si>
    <t>N/A</t>
  </si>
  <si>
    <t>Operating Margin</t>
  </si>
  <si>
    <t>MBLY - Mobileye Global Inc</t>
  </si>
  <si>
    <t>Adjusted Operating Margin</t>
  </si>
  <si>
    <t>EyeQ and SuperVision Revenue</t>
  </si>
  <si>
    <t>Number of systems shipped</t>
  </si>
  <si>
    <t>Average system price</t>
  </si>
  <si>
    <t>R&amp;D</t>
  </si>
  <si>
    <t>Sales and Marketing</t>
  </si>
  <si>
    <t>G&amp;A</t>
  </si>
  <si>
    <t>Adjusted Gross Margin</t>
  </si>
  <si>
    <t>Q12022</t>
  </si>
  <si>
    <t>Q22022</t>
  </si>
  <si>
    <t>Volkswagen Group Partnership</t>
  </si>
  <si>
    <t>Polestar 4 Collaboration</t>
  </si>
  <si>
    <t>Zeekr</t>
  </si>
  <si>
    <t>Ford EyeQ</t>
  </si>
  <si>
    <t>Toyota ADAS EyeQ</t>
  </si>
  <si>
    <t>Valeo + Volkswagen</t>
  </si>
  <si>
    <t>Luminar Lidar + Polestar 4</t>
  </si>
  <si>
    <t>Products</t>
  </si>
  <si>
    <t>EyeQ System on Chip</t>
  </si>
  <si>
    <t>Silicon Engine behind Mobileye.</t>
  </si>
  <si>
    <t>The EyeQ Line is a family of purpose built automotive SoCs that fuse computer vision, deep-learning, and signal-processing accelartors with general purpose CPU cores</t>
  </si>
  <si>
    <t>Allows EyeQ to deliver the perception performance OEMs while staying within the tight power and themral budgets of a passenger car ECU</t>
  </si>
  <si>
    <t>Each compute block is tailored to a specific ADAS/AV workload (advanced driver assistance systems)</t>
  </si>
  <si>
    <t>EyeQ1</t>
  </si>
  <si>
    <t>Lane-departure / Forward collision warning</t>
  </si>
  <si>
    <t>EyeQ3</t>
  </si>
  <si>
    <t>Single Camera L1 ADAS</t>
  </si>
  <si>
    <t>EyeQ4</t>
  </si>
  <si>
    <t>Premium L2+ highway driver assistance</t>
  </si>
  <si>
    <t>EyeQ5</t>
  </si>
  <si>
    <t>Multi sensor L2 driver assistance (L2 = partial automation, ADAS that can control both steering and acceleration and deceleration, but still rquires driver attention</t>
  </si>
  <si>
    <t>EyeQ Ultra</t>
  </si>
  <si>
    <t>Single-package L4 (complete automation, no humans needed) consumer AV</t>
  </si>
  <si>
    <t>EyeQ6L</t>
  </si>
  <si>
    <t>NOT SHIPPED YET</t>
  </si>
  <si>
    <t>Mass market L2 / surround L2+ (already shipping)</t>
  </si>
  <si>
    <t>SuperVision</t>
  </si>
  <si>
    <t>SuperVision packages Mobileye's full perception, mapping, and driving-policy software with the ECU (electronics control unit in the car), sensor-suite design, and continuous OTA update pipeline.</t>
  </si>
  <si>
    <t>300,000 vehicles on the road.  More launches with Polestar 4, FAW Hongqi, and others</t>
  </si>
  <si>
    <t>2000-2500 per vehicle</t>
  </si>
  <si>
    <t>Driver Assist system</t>
  </si>
  <si>
    <t>Autonomy Level</t>
  </si>
  <si>
    <t>L2+ "hands-off / eyes on"</t>
  </si>
  <si>
    <t>Compute Power</t>
  </si>
  <si>
    <t>Sensors</t>
  </si>
  <si>
    <t>Mapping</t>
  </si>
  <si>
    <t>Cloud-fed REM HD map tiles streamed in real time (Enables point to point navigation)</t>
  </si>
  <si>
    <t>11 high-res cameras (front tri-focal, 2 × front-wing, 2 × rear-wing, rear, 4 × parking) + optional radar (360 degree vision redundancy)</t>
  </si>
  <si>
    <t>Safety Layer</t>
  </si>
  <si>
    <t>RSS (Responsible-Sensitive Safety) driving policy and driver monitoring camera (Ensures driver attention and fall-back)</t>
  </si>
  <si>
    <t>Typical Features</t>
  </si>
  <si>
    <t>Automatic lane-change, traffic-jam assist, blind-spot and cut-in avoidance, point-to-point nav, evasive manoeuvre assist, surround-view parking</t>
  </si>
  <si>
    <t>P/Sales</t>
  </si>
  <si>
    <t>P/Book</t>
  </si>
  <si>
    <t>EV/EBITDA</t>
  </si>
  <si>
    <t>EV/R</t>
  </si>
  <si>
    <t>Trl P/E</t>
  </si>
  <si>
    <t>Fwd P/E</t>
  </si>
  <si>
    <t xml:space="preserve">EBITDA </t>
  </si>
  <si>
    <t>Diluted EPS TTM</t>
  </si>
  <si>
    <t>Metric (TTM unless noted)</t>
  </si>
  <si>
    <t>Mobileye</t>
  </si>
  <si>
    <t>NVIDIA</t>
  </si>
  <si>
    <t>Qualcomm</t>
  </si>
  <si>
    <t>Ambarella</t>
  </si>
  <si>
    <t>Aptiv</t>
  </si>
  <si>
    <t>Baidu</t>
  </si>
  <si>
    <t>Forward P/E</t>
  </si>
  <si>
    <t>33.1 × (Finviz)</t>
  </si>
  <si>
    <t>30.2 × (Finviz)</t>
  </si>
  <si>
    <t>12.2 × (Finviz)</t>
  </si>
  <si>
    <t>200 × (Finviz)</t>
  </si>
  <si>
    <t>8.1 × (Finviz)</t>
  </si>
  <si>
    <t>9.2 × (Finviz)</t>
  </si>
  <si>
    <t>EV / EBITDA</t>
  </si>
  <si>
    <t>79.7 × (Finviz)</t>
  </si>
  <si>
    <t>48.5 × (Finviz)</t>
  </si>
  <si>
    <t>11.7 × (Finviz)</t>
  </si>
  <si>
    <t>n/m (-) (Finviz)</t>
  </si>
  <si>
    <t>6.7 × (Finviz)</t>
  </si>
  <si>
    <t>5.6 × (Finviz)</t>
  </si>
  <si>
    <t>Price / Sales</t>
  </si>
  <si>
    <t>6.0 × (Finviz)</t>
  </si>
  <si>
    <t>29.1 × (Finviz)</t>
  </si>
  <si>
    <t>3.7 × (Finviz)</t>
  </si>
  <si>
    <t>8.6 × (Finviz)</t>
  </si>
  <si>
    <t>0.7 × (Finviz)</t>
  </si>
  <si>
    <t>1.3 × (Finviz)</t>
  </si>
  <si>
    <t>+18 % (EyeQ6 ramp)</t>
  </si>
  <si>
    <t>+30 % auto seg.; &gt;50 % group</t>
  </si>
  <si>
    <t>+25 % auto seg.</t>
  </si>
  <si>
    <t>+45 % (edge-AI start-up wins)</t>
  </si>
  <si>
    <t>low-single-digits</t>
  </si>
  <si>
    <r>
      <t>Growth context</t>
    </r>
    <r>
      <rPr>
        <sz val="11"/>
        <color theme="1"/>
        <rFont val="Arial"/>
        <family val="2"/>
      </rPr>
      <t xml:space="preserve"> (FY-25e rev. Y/Y)</t>
    </r>
  </si>
  <si>
    <t>Fiscal year</t>
  </si>
  <si>
    <t>Automotive revenue</t>
  </si>
  <si>
    <t>Source / notes</t>
  </si>
  <si>
    <t>$3.96B</t>
  </si>
  <si>
    <t>QCT segment table in Qualcomm’s FY2025 10-K: Automotive $3,957M out of QCT’s $38.37B. (Q4 Capital)</t>
  </si>
  <si>
    <t>$2.91B</t>
  </si>
  <si>
    <t>Same 10-K table shows Automotive $2,910M for FY2024. (Q4 Capital)</t>
  </si>
  <si>
    <t>$1.90B</t>
  </si>
  <si>
    <t>FY22–FY23 “QCT Revenue Streams” slide shows Automotive rising from $1.5B (FY22) to $1.9B (FY23). (device.report)</t>
  </si>
  <si>
    <t>$1.50B</t>
  </si>
  <si>
    <t>Same FY22–FY23 slide: Automotive $1.5B in FY22. (device.report)</t>
  </si>
  <si>
    <t>Qualcom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</si>
</sst>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m/d/yy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0" xfId="0" applyFont="1"/>
    <xf numFmtId="14" fontId="6" fillId="0" borderId="0" xfId="0" applyNumberFormat="1" applyFont="1"/>
    <xf numFmtId="3" fontId="7" fillId="2" borderId="0" xfId="0" applyNumberFormat="1" applyFont="1" applyFill="1"/>
    <xf numFmtId="1" fontId="7" fillId="2" borderId="0" xfId="0" applyNumberFormat="1" applyFont="1" applyFill="1"/>
    <xf numFmtId="0" fontId="7" fillId="2" borderId="0" xfId="0" applyFont="1" applyFill="1"/>
    <xf numFmtId="9" fontId="6" fillId="0" borderId="0" xfId="1" applyFont="1"/>
    <xf numFmtId="9" fontId="6" fillId="0" borderId="0" xfId="1" applyFont="1" applyFill="1"/>
    <xf numFmtId="9" fontId="6" fillId="2" borderId="0" xfId="1" applyFont="1" applyFill="1"/>
    <xf numFmtId="0" fontId="7" fillId="0" borderId="0" xfId="0" applyFont="1"/>
    <xf numFmtId="0" fontId="6" fillId="0" borderId="0" xfId="1" applyNumberFormat="1" applyFont="1"/>
    <xf numFmtId="10" fontId="6" fillId="0" borderId="0" xfId="0" applyNumberFormat="1" applyFont="1"/>
    <xf numFmtId="0" fontId="6" fillId="0" borderId="1" xfId="0" applyFont="1" applyBorder="1"/>
    <xf numFmtId="0" fontId="6" fillId="0" borderId="2" xfId="0" applyFont="1" applyBorder="1"/>
    <xf numFmtId="1" fontId="6" fillId="0" borderId="2" xfId="0" applyNumberFormat="1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1" fontId="6" fillId="0" borderId="0" xfId="0" applyNumberFormat="1" applyFont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8" fontId="7" fillId="0" borderId="0" xfId="0" applyNumberFormat="1" applyFont="1" applyAlignment="1">
      <alignment vertical="center"/>
    </xf>
    <xf numFmtId="0" fontId="8" fillId="0" borderId="0" xfId="2" applyFont="1"/>
    <xf numFmtId="164" fontId="6" fillId="0" borderId="0" xfId="0" applyNumberFormat="1" applyFont="1"/>
    <xf numFmtId="3" fontId="6" fillId="0" borderId="0" xfId="0" applyNumberFormat="1" applyFont="1"/>
    <xf numFmtId="0" fontId="9" fillId="0" borderId="0" xfId="0" applyFont="1"/>
    <xf numFmtId="4" fontId="6" fillId="0" borderId="0" xfId="0" applyNumberFormat="1" applyFont="1"/>
    <xf numFmtId="3" fontId="7" fillId="0" borderId="0" xfId="0" applyNumberFormat="1" applyFont="1"/>
    <xf numFmtId="0" fontId="10" fillId="0" borderId="0" xfId="0" applyFont="1"/>
    <xf numFmtId="0" fontId="6" fillId="0" borderId="0" xfId="0" applyFont="1"/>
    <xf numFmtId="0" fontId="6" fillId="0" borderId="5" xfId="0" applyFont="1" applyBorder="1"/>
    <xf numFmtId="0" fontId="1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2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inviz.com/quote.ashx?t=NVDA" TargetMode="External"/><Relationship Id="rId13" Type="http://schemas.openxmlformats.org/officeDocument/2006/relationships/hyperlink" Target="https://finviz.com/quote.ashx?t=MBLY" TargetMode="External"/><Relationship Id="rId18" Type="http://schemas.openxmlformats.org/officeDocument/2006/relationships/hyperlink" Target="https://finviz.com/quote.ashx?t=BIDU" TargetMode="External"/><Relationship Id="rId3" Type="http://schemas.openxmlformats.org/officeDocument/2006/relationships/hyperlink" Target="https://finviz.com/quote.ashx?t=QCOM" TargetMode="External"/><Relationship Id="rId21" Type="http://schemas.openxmlformats.org/officeDocument/2006/relationships/hyperlink" Target="https://device.report/m/526bc07f2939fb6478c612a2e770c00ec49be1a9f01e54b6419bce82483b31b8_pdf?utm_source=chatgpt.com" TargetMode="External"/><Relationship Id="rId7" Type="http://schemas.openxmlformats.org/officeDocument/2006/relationships/hyperlink" Target="https://finviz.com/quote.ashx?t=MBLY" TargetMode="External"/><Relationship Id="rId12" Type="http://schemas.openxmlformats.org/officeDocument/2006/relationships/hyperlink" Target="https://finviz.com/quote.ashx?t=BIDU" TargetMode="External"/><Relationship Id="rId17" Type="http://schemas.openxmlformats.org/officeDocument/2006/relationships/hyperlink" Target="https://finviz.com/quote.ashx?t=APTV" TargetMode="External"/><Relationship Id="rId2" Type="http://schemas.openxmlformats.org/officeDocument/2006/relationships/hyperlink" Target="https://finviz.com/quote.ashx?t=NVDA" TargetMode="External"/><Relationship Id="rId16" Type="http://schemas.openxmlformats.org/officeDocument/2006/relationships/hyperlink" Target="https://finviz.com/quote.ashx?t=AMBA" TargetMode="External"/><Relationship Id="rId20" Type="http://schemas.openxmlformats.org/officeDocument/2006/relationships/hyperlink" Target="https://s204.q4cdn.com/645488518/files/doc_financials/2025/q4/QCOM-09-28-25-FY2025-10-K-Final.pdf?utm_source=chatgpt.com" TargetMode="External"/><Relationship Id="rId1" Type="http://schemas.openxmlformats.org/officeDocument/2006/relationships/hyperlink" Target="https://finviz.com/quote.ashx?t=MBLY" TargetMode="External"/><Relationship Id="rId6" Type="http://schemas.openxmlformats.org/officeDocument/2006/relationships/hyperlink" Target="https://finviz.com/quote.ashx?t=BIDU" TargetMode="External"/><Relationship Id="rId11" Type="http://schemas.openxmlformats.org/officeDocument/2006/relationships/hyperlink" Target="https://finviz.com/quote.ashx?t=APTV" TargetMode="External"/><Relationship Id="rId5" Type="http://schemas.openxmlformats.org/officeDocument/2006/relationships/hyperlink" Target="https://finviz.com/quote.ashx?t=APTV" TargetMode="External"/><Relationship Id="rId15" Type="http://schemas.openxmlformats.org/officeDocument/2006/relationships/hyperlink" Target="https://finviz.com/quote.ashx?t=QCOM" TargetMode="External"/><Relationship Id="rId10" Type="http://schemas.openxmlformats.org/officeDocument/2006/relationships/hyperlink" Target="https://finviz.com/quote.ashx?t=AMBA" TargetMode="External"/><Relationship Id="rId19" Type="http://schemas.openxmlformats.org/officeDocument/2006/relationships/hyperlink" Target="https://s204.q4cdn.com/645488518/files/doc_financials/2025/q4/QCOM-09-28-25-FY2025-10-K-Final.pdf?utm_source=chatgpt.com" TargetMode="External"/><Relationship Id="rId4" Type="http://schemas.openxmlformats.org/officeDocument/2006/relationships/hyperlink" Target="https://finviz.com/quote.ashx?t=AMBA" TargetMode="External"/><Relationship Id="rId9" Type="http://schemas.openxmlformats.org/officeDocument/2006/relationships/hyperlink" Target="https://finviz.com/quote.ashx?t=QCOM" TargetMode="External"/><Relationship Id="rId14" Type="http://schemas.openxmlformats.org/officeDocument/2006/relationships/hyperlink" Target="https://finviz.com/quote.ashx?t=NVDA" TargetMode="External"/><Relationship Id="rId22" Type="http://schemas.openxmlformats.org/officeDocument/2006/relationships/hyperlink" Target="https://device.report/m/526bc07f2939fb6478c612a2e770c00ec49be1a9f01e54b6419bce82483b31b8_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C10-986F-41A4-B3DD-2A72A923BC11}">
  <dimension ref="A1:E18"/>
  <sheetViews>
    <sheetView workbookViewId="0">
      <selection activeCell="B6" sqref="B6"/>
    </sheetView>
  </sheetViews>
  <sheetFormatPr defaultRowHeight="14.25" x14ac:dyDescent="0.2"/>
  <cols>
    <col min="1" max="1" width="19.85546875" style="1" bestFit="1" customWidth="1"/>
    <col min="2" max="2" width="19.5703125" style="1" bestFit="1" customWidth="1"/>
    <col min="3" max="3" width="11.5703125" style="1" bestFit="1" customWidth="1"/>
    <col min="4" max="4" width="16.140625" style="1" bestFit="1" customWidth="1"/>
    <col min="5" max="5" width="6.7109375" style="1" bestFit="1" customWidth="1"/>
    <col min="6" max="16384" width="9.140625" style="1"/>
  </cols>
  <sheetData>
    <row r="1" spans="1:5" x14ac:dyDescent="0.2">
      <c r="A1" s="1" t="s">
        <v>1</v>
      </c>
      <c r="B1" s="1" t="s">
        <v>47</v>
      </c>
    </row>
    <row r="3" spans="1:5" x14ac:dyDescent="0.2">
      <c r="A3" s="1" t="s">
        <v>6</v>
      </c>
    </row>
    <row r="4" spans="1:5" x14ac:dyDescent="0.2">
      <c r="A4" s="1" t="s">
        <v>0</v>
      </c>
      <c r="B4" s="1">
        <v>11.38</v>
      </c>
      <c r="C4" s="2">
        <v>45981</v>
      </c>
    </row>
    <row r="5" spans="1:5" x14ac:dyDescent="0.2">
      <c r="A5" s="1" t="s">
        <v>2</v>
      </c>
      <c r="B5" s="1">
        <v>814</v>
      </c>
      <c r="C5" s="34" t="s">
        <v>29</v>
      </c>
    </row>
    <row r="6" spans="1:5" x14ac:dyDescent="0.2">
      <c r="A6" s="1" t="s">
        <v>3</v>
      </c>
      <c r="B6" s="1">
        <f xml:space="preserve"> B4 * B5</f>
        <v>9263.3200000000015</v>
      </c>
    </row>
    <row r="7" spans="1:5" x14ac:dyDescent="0.2">
      <c r="A7" s="1" t="s">
        <v>26</v>
      </c>
      <c r="B7" s="1">
        <v>1750</v>
      </c>
    </row>
    <row r="8" spans="1:5" x14ac:dyDescent="0.2">
      <c r="A8" s="1" t="s">
        <v>4</v>
      </c>
      <c r="B8" s="1">
        <v>61</v>
      </c>
      <c r="D8" s="1" t="s">
        <v>31</v>
      </c>
      <c r="E8" s="1">
        <v>2.15</v>
      </c>
    </row>
    <row r="9" spans="1:5" x14ac:dyDescent="0.2">
      <c r="A9" s="1" t="s">
        <v>7</v>
      </c>
      <c r="B9" s="1">
        <f>B6 - B7 + B8</f>
        <v>7574.3200000000015</v>
      </c>
      <c r="D9" s="1" t="s">
        <v>27</v>
      </c>
      <c r="E9" s="1">
        <v>14.67</v>
      </c>
    </row>
    <row r="11" spans="1:5" x14ac:dyDescent="0.2">
      <c r="A11" s="1" t="s">
        <v>100</v>
      </c>
      <c r="B11" s="1">
        <v>4.71</v>
      </c>
    </row>
    <row r="12" spans="1:5" x14ac:dyDescent="0.2">
      <c r="A12" s="1" t="s">
        <v>101</v>
      </c>
      <c r="B12" s="1">
        <v>0.77</v>
      </c>
    </row>
    <row r="13" spans="1:5" x14ac:dyDescent="0.2">
      <c r="A13" s="1" t="s">
        <v>102</v>
      </c>
      <c r="B13" s="1">
        <v>45.38</v>
      </c>
    </row>
    <row r="14" spans="1:5" x14ac:dyDescent="0.2">
      <c r="A14" s="1" t="s">
        <v>103</v>
      </c>
      <c r="B14" s="1">
        <v>3.81</v>
      </c>
    </row>
    <row r="15" spans="1:5" x14ac:dyDescent="0.2">
      <c r="A15" s="1" t="s">
        <v>104</v>
      </c>
      <c r="B15" s="34" t="s">
        <v>45</v>
      </c>
    </row>
    <row r="16" spans="1:5" x14ac:dyDescent="0.2">
      <c r="A16" s="1" t="s">
        <v>105</v>
      </c>
      <c r="B16" s="1">
        <v>30</v>
      </c>
    </row>
    <row r="17" spans="1:1" x14ac:dyDescent="0.2">
      <c r="A17" s="1" t="s">
        <v>106</v>
      </c>
    </row>
    <row r="18" spans="1:1" x14ac:dyDescent="0.2">
      <c r="A18" s="1" t="s">
        <v>107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8C8F-3B6A-4584-925C-61BD108C4B76}">
  <dimension ref="A1:Z77"/>
  <sheetViews>
    <sheetView tabSelected="1" topLeftCell="I1" workbookViewId="0">
      <selection activeCell="R6" sqref="R6"/>
    </sheetView>
  </sheetViews>
  <sheetFormatPr defaultRowHeight="14.25" outlineLevelRow="1" x14ac:dyDescent="0.2"/>
  <cols>
    <col min="1" max="1" width="9.140625" style="1"/>
    <col min="2" max="2" width="28.28515625" style="1" bestFit="1" customWidth="1"/>
    <col min="3" max="10" width="9.140625" style="1"/>
    <col min="11" max="13" width="13.140625" style="1" customWidth="1"/>
    <col min="14" max="14" width="18.85546875" style="1" customWidth="1"/>
    <col min="15" max="15" width="14.85546875" style="1" customWidth="1"/>
    <col min="16" max="16" width="15" style="1" customWidth="1"/>
    <col min="17" max="17" width="8.42578125" style="1" bestFit="1" customWidth="1"/>
    <col min="18" max="18" width="9.28515625" style="1" bestFit="1" customWidth="1"/>
    <col min="19" max="19" width="9.5703125" style="1" bestFit="1" customWidth="1"/>
    <col min="20" max="16384" width="9.140625" style="1"/>
  </cols>
  <sheetData>
    <row r="1" spans="1:20" x14ac:dyDescent="0.2">
      <c r="A1" s="25" t="s">
        <v>8</v>
      </c>
      <c r="B1" s="1" t="s">
        <v>38</v>
      </c>
    </row>
    <row r="2" spans="1:20" x14ac:dyDescent="0.2">
      <c r="A2" s="26"/>
      <c r="B2" s="26"/>
      <c r="C2" s="26"/>
      <c r="D2" s="26" t="s">
        <v>56</v>
      </c>
      <c r="E2" s="26" t="s">
        <v>57</v>
      </c>
      <c r="F2" s="26" t="s">
        <v>14</v>
      </c>
      <c r="G2" s="26" t="s">
        <v>15</v>
      </c>
      <c r="H2" s="26" t="s">
        <v>16</v>
      </c>
      <c r="I2" s="26" t="s">
        <v>17</v>
      </c>
      <c r="J2" s="26" t="s">
        <v>18</v>
      </c>
      <c r="K2" s="26" t="s">
        <v>19</v>
      </c>
      <c r="L2" s="26" t="s">
        <v>20</v>
      </c>
      <c r="M2" s="26" t="s">
        <v>21</v>
      </c>
      <c r="N2" s="26" t="s">
        <v>22</v>
      </c>
      <c r="O2" s="26" t="s">
        <v>23</v>
      </c>
      <c r="P2" s="26" t="s">
        <v>5</v>
      </c>
      <c r="Q2" s="26" t="s">
        <v>28</v>
      </c>
      <c r="R2" s="26" t="s">
        <v>29</v>
      </c>
      <c r="S2" s="26" t="s">
        <v>30</v>
      </c>
      <c r="T2" s="26" t="s">
        <v>32</v>
      </c>
    </row>
    <row r="3" spans="1:20" x14ac:dyDescent="0.2">
      <c r="A3" s="27"/>
      <c r="B3" s="27" t="s">
        <v>49</v>
      </c>
      <c r="C3" s="27"/>
      <c r="D3" s="27">
        <v>378</v>
      </c>
      <c r="E3" s="27">
        <v>441</v>
      </c>
      <c r="F3" s="27">
        <v>432</v>
      </c>
      <c r="G3" s="27">
        <v>543</v>
      </c>
      <c r="H3" s="27">
        <v>438</v>
      </c>
      <c r="I3" s="1">
        <v>430</v>
      </c>
      <c r="J3" s="1">
        <v>507</v>
      </c>
      <c r="K3" s="1">
        <v>611</v>
      </c>
      <c r="L3" s="1">
        <v>219</v>
      </c>
      <c r="M3" s="1">
        <v>413</v>
      </c>
      <c r="N3" s="1">
        <v>457</v>
      </c>
      <c r="O3" s="1">
        <v>464</v>
      </c>
      <c r="P3" s="1">
        <v>415</v>
      </c>
      <c r="Q3" s="1">
        <v>481</v>
      </c>
      <c r="R3" s="1">
        <v>478</v>
      </c>
    </row>
    <row r="4" spans="1:20" x14ac:dyDescent="0.2">
      <c r="B4" s="1" t="s">
        <v>50</v>
      </c>
      <c r="D4" s="1">
        <v>7</v>
      </c>
      <c r="E4" s="1">
        <v>8.5</v>
      </c>
      <c r="F4" s="1">
        <v>8.1999999999999993</v>
      </c>
      <c r="G4" s="1">
        <v>9.6999999999999993</v>
      </c>
      <c r="H4" s="1">
        <v>8.1</v>
      </c>
      <c r="I4" s="1">
        <v>8.3000000000000007</v>
      </c>
      <c r="J4" s="1">
        <v>9.4</v>
      </c>
      <c r="K4" s="1">
        <v>11.6</v>
      </c>
      <c r="L4" s="1">
        <v>3.6</v>
      </c>
      <c r="M4" s="1">
        <v>7.6</v>
      </c>
      <c r="N4" s="1">
        <v>8.6</v>
      </c>
      <c r="O4" s="1">
        <v>9.3000000000000007</v>
      </c>
      <c r="P4" s="1">
        <v>8.5</v>
      </c>
      <c r="Q4" s="1">
        <v>9.6999999999999993</v>
      </c>
      <c r="R4" s="1">
        <v>9.1999999999999993</v>
      </c>
    </row>
    <row r="5" spans="1:20" x14ac:dyDescent="0.2">
      <c r="B5" s="1" t="s">
        <v>51</v>
      </c>
      <c r="D5" s="1">
        <v>48.3</v>
      </c>
      <c r="E5" s="1">
        <v>52</v>
      </c>
      <c r="F5" s="1">
        <v>53</v>
      </c>
      <c r="G5" s="1">
        <v>56.2</v>
      </c>
      <c r="H5" s="1">
        <v>53.9</v>
      </c>
      <c r="I5" s="1">
        <v>51.7</v>
      </c>
      <c r="J5" s="1">
        <v>53.8</v>
      </c>
      <c r="K5" s="1">
        <v>52.7</v>
      </c>
      <c r="L5" s="1">
        <v>61</v>
      </c>
      <c r="M5" s="1">
        <v>54.4</v>
      </c>
      <c r="N5" s="1">
        <v>53.3</v>
      </c>
      <c r="O5" s="1">
        <v>50</v>
      </c>
      <c r="P5" s="1">
        <v>49</v>
      </c>
      <c r="Q5" s="1">
        <v>49.7</v>
      </c>
      <c r="R5" s="1">
        <v>51.7</v>
      </c>
    </row>
    <row r="6" spans="1:20" x14ac:dyDescent="0.2">
      <c r="A6" s="27"/>
      <c r="B6" s="27"/>
      <c r="C6" s="27"/>
      <c r="D6" s="27"/>
      <c r="E6" s="27"/>
      <c r="F6" s="27"/>
      <c r="G6" s="27"/>
      <c r="H6" s="27"/>
    </row>
    <row r="7" spans="1:20" s="5" customFormat="1" ht="15" x14ac:dyDescent="0.25">
      <c r="A7" s="3"/>
      <c r="B7" s="3" t="s">
        <v>9</v>
      </c>
      <c r="C7" s="3"/>
      <c r="D7" s="3">
        <v>394</v>
      </c>
      <c r="E7" s="3">
        <v>460</v>
      </c>
      <c r="F7" s="3">
        <v>450</v>
      </c>
      <c r="G7" s="3">
        <v>565</v>
      </c>
      <c r="H7" s="3">
        <v>458</v>
      </c>
      <c r="I7" s="3">
        <v>454</v>
      </c>
      <c r="J7" s="3">
        <v>530</v>
      </c>
      <c r="K7" s="3">
        <v>637</v>
      </c>
      <c r="L7" s="3">
        <v>239</v>
      </c>
      <c r="M7" s="3">
        <v>439</v>
      </c>
      <c r="N7" s="3">
        <v>486</v>
      </c>
      <c r="O7" s="3">
        <v>490</v>
      </c>
      <c r="P7" s="3">
        <v>438</v>
      </c>
      <c r="Q7" s="4">
        <v>506</v>
      </c>
      <c r="R7" s="4">
        <v>504</v>
      </c>
      <c r="S7" s="4"/>
    </row>
    <row r="8" spans="1:20" x14ac:dyDescent="0.2">
      <c r="A8" s="27"/>
      <c r="B8" s="27" t="s">
        <v>33</v>
      </c>
      <c r="C8" s="27"/>
      <c r="D8" s="27">
        <v>218</v>
      </c>
      <c r="E8" s="27">
        <v>231</v>
      </c>
      <c r="F8" s="28">
        <v>233</v>
      </c>
      <c r="G8" s="28">
        <v>265</v>
      </c>
      <c r="H8" s="28">
        <v>251</v>
      </c>
      <c r="I8" s="28">
        <v>230</v>
      </c>
      <c r="J8" s="28">
        <v>258</v>
      </c>
      <c r="K8" s="1">
        <v>293</v>
      </c>
      <c r="L8" s="28">
        <v>185</v>
      </c>
      <c r="M8" s="28">
        <v>230</v>
      </c>
      <c r="N8" s="1">
        <v>249</v>
      </c>
      <c r="O8" s="1">
        <v>249</v>
      </c>
      <c r="P8" s="1">
        <v>231</v>
      </c>
      <c r="Q8" s="1">
        <v>254</v>
      </c>
      <c r="R8" s="1">
        <v>261</v>
      </c>
    </row>
    <row r="9" spans="1:20" s="5" customFormat="1" ht="15" x14ac:dyDescent="0.25">
      <c r="A9" s="3"/>
      <c r="B9" s="3" t="s">
        <v>10</v>
      </c>
      <c r="C9" s="4"/>
      <c r="D9" s="4">
        <f t="shared" ref="D9:R9" si="0">D7 -D8</f>
        <v>176</v>
      </c>
      <c r="E9" s="4">
        <f>E7 -E8</f>
        <v>229</v>
      </c>
      <c r="F9" s="4">
        <f t="shared" si="0"/>
        <v>217</v>
      </c>
      <c r="G9" s="4">
        <f t="shared" si="0"/>
        <v>300</v>
      </c>
      <c r="H9" s="4">
        <f t="shared" si="0"/>
        <v>207</v>
      </c>
      <c r="I9" s="4">
        <f t="shared" si="0"/>
        <v>224</v>
      </c>
      <c r="J9" s="4">
        <f t="shared" si="0"/>
        <v>272</v>
      </c>
      <c r="K9" s="4">
        <f t="shared" si="0"/>
        <v>344</v>
      </c>
      <c r="L9" s="4">
        <f t="shared" si="0"/>
        <v>54</v>
      </c>
      <c r="M9" s="4">
        <f t="shared" si="0"/>
        <v>209</v>
      </c>
      <c r="N9" s="4">
        <f t="shared" si="0"/>
        <v>237</v>
      </c>
      <c r="O9" s="4">
        <f t="shared" si="0"/>
        <v>241</v>
      </c>
      <c r="P9" s="4">
        <f t="shared" si="0"/>
        <v>207</v>
      </c>
      <c r="Q9" s="4">
        <f t="shared" si="0"/>
        <v>252</v>
      </c>
      <c r="R9" s="4">
        <f t="shared" si="0"/>
        <v>243</v>
      </c>
    </row>
    <row r="10" spans="1:20" x14ac:dyDescent="0.2">
      <c r="A10" s="27"/>
      <c r="B10" s="27" t="s">
        <v>52</v>
      </c>
      <c r="C10" s="18"/>
      <c r="D10" s="18">
        <v>180</v>
      </c>
      <c r="E10" s="18">
        <v>179</v>
      </c>
      <c r="F10" s="18">
        <v>206</v>
      </c>
      <c r="G10" s="18">
        <v>224</v>
      </c>
      <c r="H10" s="18">
        <v>235</v>
      </c>
      <c r="I10" s="18">
        <v>211</v>
      </c>
      <c r="J10" s="18">
        <v>218</v>
      </c>
      <c r="K10" s="18">
        <v>225</v>
      </c>
      <c r="L10" s="18">
        <v>243</v>
      </c>
      <c r="M10" s="18">
        <v>256</v>
      </c>
      <c r="N10" s="18">
        <v>303</v>
      </c>
      <c r="O10" s="18">
        <v>281</v>
      </c>
      <c r="P10" s="18">
        <v>275</v>
      </c>
      <c r="Q10" s="18">
        <v>282</v>
      </c>
      <c r="R10" s="1">
        <v>304</v>
      </c>
    </row>
    <row r="11" spans="1:20" x14ac:dyDescent="0.2">
      <c r="A11" s="27"/>
      <c r="B11" s="27" t="s">
        <v>53</v>
      </c>
      <c r="C11" s="18"/>
      <c r="D11" s="18">
        <v>35</v>
      </c>
      <c r="E11" s="18">
        <v>29</v>
      </c>
      <c r="F11" s="18">
        <v>27</v>
      </c>
      <c r="G11" s="18">
        <v>29</v>
      </c>
      <c r="H11" s="18">
        <v>33</v>
      </c>
      <c r="I11" s="18">
        <v>29</v>
      </c>
      <c r="J11" s="18">
        <v>28</v>
      </c>
      <c r="K11" s="18">
        <v>28</v>
      </c>
      <c r="L11" s="18">
        <v>34</v>
      </c>
      <c r="M11" s="18">
        <v>28</v>
      </c>
      <c r="N11" s="18">
        <v>28</v>
      </c>
      <c r="O11" s="18">
        <v>28</v>
      </c>
      <c r="P11" s="18">
        <v>31</v>
      </c>
      <c r="Q11" s="18">
        <v>25</v>
      </c>
      <c r="R11" s="1">
        <v>29</v>
      </c>
    </row>
    <row r="12" spans="1:20" x14ac:dyDescent="0.2">
      <c r="A12" s="27"/>
      <c r="B12" s="27" t="s">
        <v>54</v>
      </c>
      <c r="C12" s="27"/>
      <c r="D12" s="27">
        <v>7</v>
      </c>
      <c r="E12" s="27">
        <v>11</v>
      </c>
      <c r="F12" s="28">
        <v>9</v>
      </c>
      <c r="G12" s="28">
        <v>23</v>
      </c>
      <c r="H12" s="28">
        <v>20</v>
      </c>
      <c r="I12" s="28">
        <v>17</v>
      </c>
      <c r="J12" s="28">
        <v>18</v>
      </c>
      <c r="K12" s="28">
        <v>18</v>
      </c>
      <c r="L12" s="28">
        <v>15</v>
      </c>
      <c r="M12" s="28">
        <v>19</v>
      </c>
      <c r="N12" s="28">
        <v>18</v>
      </c>
      <c r="O12" s="28">
        <v>18</v>
      </c>
      <c r="P12" s="1">
        <v>18</v>
      </c>
      <c r="Q12" s="28">
        <v>19</v>
      </c>
      <c r="R12" s="1">
        <v>19</v>
      </c>
    </row>
    <row r="13" spans="1:20" s="5" customFormat="1" ht="15" x14ac:dyDescent="0.25">
      <c r="A13" s="3"/>
      <c r="B13" s="3" t="s">
        <v>11</v>
      </c>
      <c r="D13" s="4">
        <f t="shared" ref="D13" si="1">D9-SUM(D10:D12)</f>
        <v>-46</v>
      </c>
      <c r="E13" s="4">
        <f t="shared" ref="E13" si="2">E9-SUM(E10:E12)</f>
        <v>10</v>
      </c>
      <c r="F13" s="4">
        <f t="shared" ref="F13:P13" si="3">F9-SUM(F10:F12)</f>
        <v>-25</v>
      </c>
      <c r="G13" s="4">
        <f t="shared" si="3"/>
        <v>24</v>
      </c>
      <c r="H13" s="4">
        <f t="shared" si="3"/>
        <v>-81</v>
      </c>
      <c r="I13" s="4">
        <f t="shared" si="3"/>
        <v>-33</v>
      </c>
      <c r="J13" s="4">
        <f t="shared" si="3"/>
        <v>8</v>
      </c>
      <c r="K13" s="4">
        <f t="shared" si="3"/>
        <v>73</v>
      </c>
      <c r="L13" s="4">
        <f t="shared" si="3"/>
        <v>-238</v>
      </c>
      <c r="M13" s="4">
        <f t="shared" si="3"/>
        <v>-94</v>
      </c>
      <c r="N13" s="4">
        <v>-2807</v>
      </c>
      <c r="O13" s="4">
        <f t="shared" si="3"/>
        <v>-86</v>
      </c>
      <c r="P13" s="4">
        <f t="shared" si="3"/>
        <v>-117</v>
      </c>
      <c r="Q13" s="4">
        <f>Q9-SUM(Q10:Q12)</f>
        <v>-74</v>
      </c>
      <c r="R13" s="4">
        <f>R9-SUM(R10:R12)</f>
        <v>-109</v>
      </c>
    </row>
    <row r="14" spans="1:20" x14ac:dyDescent="0.2">
      <c r="B14" s="1" t="s">
        <v>42</v>
      </c>
      <c r="D14" s="1">
        <v>-44</v>
      </c>
      <c r="E14" s="1">
        <v>8</v>
      </c>
      <c r="F14" s="28">
        <v>-30</v>
      </c>
      <c r="G14" s="28">
        <v>34</v>
      </c>
      <c r="H14" s="28">
        <v>-73</v>
      </c>
      <c r="I14" s="28">
        <v>-18</v>
      </c>
      <c r="J14" s="28">
        <v>23</v>
      </c>
      <c r="K14" s="1">
        <v>84</v>
      </c>
      <c r="L14" s="28">
        <v>-221</v>
      </c>
      <c r="M14" s="28">
        <v>-81</v>
      </c>
      <c r="N14" s="28">
        <v>-2793</v>
      </c>
      <c r="O14" s="1">
        <v>-68</v>
      </c>
      <c r="P14" s="1">
        <v>-99</v>
      </c>
      <c r="Q14" s="1">
        <v>-61</v>
      </c>
      <c r="R14" s="1">
        <v>-92</v>
      </c>
    </row>
    <row r="15" spans="1:20" x14ac:dyDescent="0.2">
      <c r="B15" s="1" t="s">
        <v>43</v>
      </c>
      <c r="D15" s="1">
        <v>16</v>
      </c>
      <c r="E15" s="1">
        <v>15</v>
      </c>
      <c r="F15" s="28">
        <v>15</v>
      </c>
      <c r="G15" s="28">
        <v>4</v>
      </c>
      <c r="H15" s="28">
        <v>6</v>
      </c>
      <c r="I15" s="28">
        <v>10</v>
      </c>
      <c r="J15" s="28">
        <v>6</v>
      </c>
      <c r="K15" s="1">
        <v>21</v>
      </c>
      <c r="L15" s="28">
        <v>-3</v>
      </c>
      <c r="M15" s="1">
        <v>5</v>
      </c>
      <c r="N15" s="28">
        <v>-78</v>
      </c>
      <c r="O15" s="1">
        <v>3</v>
      </c>
      <c r="P15" s="1">
        <v>3</v>
      </c>
      <c r="Q15" s="1">
        <v>6</v>
      </c>
      <c r="R15" s="1">
        <v>4</v>
      </c>
    </row>
    <row r="16" spans="1:20" s="5" customFormat="1" ht="15" x14ac:dyDescent="0.25">
      <c r="B16" s="5" t="s">
        <v>12</v>
      </c>
      <c r="D16" s="5">
        <f t="shared" ref="D16:O16" si="4">D14-D15</f>
        <v>-60</v>
      </c>
      <c r="E16" s="5">
        <f t="shared" si="4"/>
        <v>-7</v>
      </c>
      <c r="F16" s="5">
        <f t="shared" si="4"/>
        <v>-45</v>
      </c>
      <c r="G16" s="5">
        <f t="shared" si="4"/>
        <v>30</v>
      </c>
      <c r="H16" s="5">
        <f t="shared" si="4"/>
        <v>-79</v>
      </c>
      <c r="I16" s="5">
        <f t="shared" si="4"/>
        <v>-28</v>
      </c>
      <c r="J16" s="5">
        <f t="shared" si="4"/>
        <v>17</v>
      </c>
      <c r="K16" s="5">
        <f t="shared" si="4"/>
        <v>63</v>
      </c>
      <c r="L16" s="5">
        <f t="shared" si="4"/>
        <v>-218</v>
      </c>
      <c r="M16" s="5">
        <f t="shared" si="4"/>
        <v>-86</v>
      </c>
      <c r="N16" s="5">
        <f t="shared" si="4"/>
        <v>-2715</v>
      </c>
      <c r="O16" s="5">
        <f t="shared" si="4"/>
        <v>-71</v>
      </c>
      <c r="P16" s="5">
        <f>P14-P15</f>
        <v>-102</v>
      </c>
      <c r="Q16" s="5">
        <f>Q14-Q15</f>
        <v>-67</v>
      </c>
      <c r="R16" s="5">
        <f>R14-R15</f>
        <v>-96</v>
      </c>
    </row>
    <row r="17" spans="2:18" x14ac:dyDescent="0.2">
      <c r="B17" s="1" t="s">
        <v>35</v>
      </c>
      <c r="C17" s="29"/>
      <c r="D17" s="29">
        <v>-0.08</v>
      </c>
      <c r="E17" s="29">
        <v>-0.01</v>
      </c>
      <c r="F17" s="29">
        <v>-0.06</v>
      </c>
      <c r="G17" s="29">
        <v>0.04</v>
      </c>
      <c r="H17" s="29">
        <v>-0.1</v>
      </c>
      <c r="I17" s="29">
        <v>-0.04</v>
      </c>
      <c r="J17" s="29">
        <v>0.02</v>
      </c>
      <c r="K17" s="1">
        <v>0.08</v>
      </c>
      <c r="L17" s="29">
        <v>-0.27</v>
      </c>
      <c r="M17" s="29">
        <v>-0.11</v>
      </c>
      <c r="N17" s="29">
        <v>-3.35</v>
      </c>
      <c r="O17" s="29">
        <v>-0.09</v>
      </c>
      <c r="P17" s="1">
        <v>-0.13</v>
      </c>
      <c r="Q17" s="29">
        <v>-0.08</v>
      </c>
      <c r="R17" s="1">
        <v>-0.12</v>
      </c>
    </row>
    <row r="18" spans="2:18" x14ac:dyDescent="0.2">
      <c r="B18" s="1" t="s">
        <v>34</v>
      </c>
      <c r="D18" s="1">
        <v>-0.08</v>
      </c>
      <c r="E18" s="1">
        <v>-0.01</v>
      </c>
      <c r="F18" s="1">
        <v>-0.06</v>
      </c>
      <c r="G18" s="1">
        <v>0.04</v>
      </c>
      <c r="H18" s="1">
        <v>-0.1</v>
      </c>
      <c r="I18" s="28">
        <v>-0.04</v>
      </c>
      <c r="J18" s="28">
        <v>0.02</v>
      </c>
      <c r="K18" s="1">
        <v>0.08</v>
      </c>
      <c r="L18" s="28">
        <v>-0.27</v>
      </c>
      <c r="M18" s="28">
        <v>-0.11</v>
      </c>
      <c r="N18" s="28">
        <v>-3.35</v>
      </c>
      <c r="O18" s="1">
        <v>-0.09</v>
      </c>
      <c r="P18" s="1">
        <v>-0.13</v>
      </c>
      <c r="Q18" s="1">
        <v>-0.08</v>
      </c>
      <c r="R18" s="1">
        <v>-0.12</v>
      </c>
    </row>
    <row r="20" spans="2:18" x14ac:dyDescent="0.2">
      <c r="B20" s="1" t="s">
        <v>40</v>
      </c>
      <c r="D20" s="1" t="s">
        <v>45</v>
      </c>
      <c r="E20" s="1" t="s">
        <v>45</v>
      </c>
      <c r="F20" s="6" t="s">
        <v>45</v>
      </c>
      <c r="G20" s="6" t="s">
        <v>45</v>
      </c>
      <c r="H20" s="6">
        <f t="shared" ref="H20" si="5">(H7/D7) - 1</f>
        <v>0.1624365482233503</v>
      </c>
      <c r="I20" s="6">
        <f t="shared" ref="I20" si="6">(I7/E7) - 1</f>
        <v>-1.3043478260869601E-2</v>
      </c>
      <c r="J20" s="6">
        <f t="shared" ref="J20:R20" si="7">(J7/F7) - 1</f>
        <v>0.17777777777777781</v>
      </c>
      <c r="K20" s="6">
        <f t="shared" si="7"/>
        <v>0.12743362831858418</v>
      </c>
      <c r="L20" s="6">
        <f t="shared" si="7"/>
        <v>-0.47816593886462877</v>
      </c>
      <c r="M20" s="6">
        <f t="shared" si="7"/>
        <v>-3.3039647577092546E-2</v>
      </c>
      <c r="N20" s="6">
        <f t="shared" si="7"/>
        <v>-8.3018867924528283E-2</v>
      </c>
      <c r="O20" s="6">
        <f t="shared" si="7"/>
        <v>-0.23076923076923073</v>
      </c>
      <c r="P20" s="6">
        <f t="shared" si="7"/>
        <v>0.83263598326359833</v>
      </c>
      <c r="Q20" s="6">
        <f t="shared" si="7"/>
        <v>0.15261958997722092</v>
      </c>
      <c r="R20" s="6">
        <f t="shared" si="7"/>
        <v>3.7037037037036979E-2</v>
      </c>
    </row>
    <row r="21" spans="2:18" x14ac:dyDescent="0.2">
      <c r="B21" s="1" t="s">
        <v>41</v>
      </c>
      <c r="D21" s="6" t="s">
        <v>45</v>
      </c>
      <c r="E21" s="6">
        <f t="shared" ref="E21" si="8" xml:space="preserve"> (E7/D7) - 1</f>
        <v>0.1675126903553299</v>
      </c>
      <c r="F21" s="6">
        <f t="shared" ref="F21" si="9" xml:space="preserve"> (F7/E7) - 1</f>
        <v>-2.1739130434782594E-2</v>
      </c>
      <c r="G21" s="6">
        <f t="shared" ref="G21:R21" si="10" xml:space="preserve"> (G7/F7) - 1</f>
        <v>0.25555555555555554</v>
      </c>
      <c r="H21" s="6">
        <f t="shared" si="10"/>
        <v>-0.18938053097345131</v>
      </c>
      <c r="I21" s="6">
        <f t="shared" si="10"/>
        <v>-8.733624454148492E-3</v>
      </c>
      <c r="J21" s="6">
        <f t="shared" si="10"/>
        <v>0.16740088105726869</v>
      </c>
      <c r="K21" s="6">
        <f t="shared" si="10"/>
        <v>0.20188679245283025</v>
      </c>
      <c r="L21" s="6">
        <f t="shared" si="10"/>
        <v>-0.6248037676609105</v>
      </c>
      <c r="M21" s="6">
        <f t="shared" si="10"/>
        <v>0.83682008368200833</v>
      </c>
      <c r="N21" s="6">
        <f t="shared" si="10"/>
        <v>0.1070615034168565</v>
      </c>
      <c r="O21" s="6">
        <f t="shared" si="10"/>
        <v>8.2304526748970819E-3</v>
      </c>
      <c r="P21" s="6">
        <f t="shared" si="10"/>
        <v>-0.10612244897959189</v>
      </c>
      <c r="Q21" s="6">
        <f t="shared" si="10"/>
        <v>0.15525114155251152</v>
      </c>
      <c r="R21" s="6">
        <f t="shared" si="10"/>
        <v>-3.9525691699604515E-3</v>
      </c>
    </row>
    <row r="22" spans="2:18" x14ac:dyDescent="0.2">
      <c r="F22" s="6"/>
      <c r="G22" s="7"/>
      <c r="H22" s="7"/>
      <c r="I22" s="7"/>
      <c r="J22" s="7"/>
      <c r="K22" s="7"/>
      <c r="L22" s="7"/>
      <c r="M22" s="7"/>
      <c r="N22" s="7"/>
      <c r="O22" s="7"/>
      <c r="P22" s="6"/>
    </row>
    <row r="23" spans="2:18" s="6" customFormat="1" x14ac:dyDescent="0.2">
      <c r="B23" s="6" t="s">
        <v>44</v>
      </c>
      <c r="D23" s="6">
        <v>0.45</v>
      </c>
      <c r="E23" s="6">
        <v>0.5</v>
      </c>
      <c r="F23" s="6">
        <v>0.48</v>
      </c>
      <c r="G23" s="7">
        <v>0.53</v>
      </c>
      <c r="H23" s="7">
        <v>0.45</v>
      </c>
      <c r="I23" s="7">
        <v>0.49</v>
      </c>
      <c r="J23" s="7">
        <v>0.51</v>
      </c>
      <c r="K23" s="7">
        <v>0.54</v>
      </c>
      <c r="L23" s="7">
        <v>0.23</v>
      </c>
      <c r="M23" s="7">
        <v>0.48</v>
      </c>
      <c r="N23" s="7">
        <v>0.49</v>
      </c>
      <c r="O23" s="7">
        <v>0.49</v>
      </c>
      <c r="P23" s="6">
        <v>0.47</v>
      </c>
      <c r="Q23" s="6">
        <v>0.5</v>
      </c>
      <c r="R23" s="6">
        <v>0.48</v>
      </c>
    </row>
    <row r="24" spans="2:18" s="6" customFormat="1" x14ac:dyDescent="0.2">
      <c r="B24" s="6" t="s">
        <v>55</v>
      </c>
      <c r="D24" s="6">
        <v>0.76</v>
      </c>
      <c r="E24" s="6">
        <v>0.75</v>
      </c>
      <c r="F24" s="6">
        <v>0.74</v>
      </c>
      <c r="G24" s="7">
        <v>0.74</v>
      </c>
      <c r="H24" s="7">
        <v>0.71</v>
      </c>
      <c r="I24" s="7">
        <v>0.72</v>
      </c>
      <c r="J24" s="7">
        <v>0.69</v>
      </c>
      <c r="K24" s="7">
        <v>0.69</v>
      </c>
      <c r="L24" s="7">
        <v>0.62</v>
      </c>
      <c r="M24" s="7">
        <v>0.69</v>
      </c>
      <c r="N24" s="7">
        <v>0.68</v>
      </c>
      <c r="O24" s="7">
        <v>0.69</v>
      </c>
      <c r="P24" s="6">
        <v>0.69</v>
      </c>
      <c r="Q24" s="6">
        <v>0.69</v>
      </c>
      <c r="R24" s="6">
        <v>0.67</v>
      </c>
    </row>
    <row r="25" spans="2:18" s="6" customFormat="1" x14ac:dyDescent="0.2">
      <c r="B25" s="6" t="s">
        <v>46</v>
      </c>
      <c r="D25" s="6">
        <v>-0.12</v>
      </c>
      <c r="E25" s="6">
        <v>0.02</v>
      </c>
      <c r="F25" s="6">
        <v>-0.06</v>
      </c>
      <c r="G25" s="6">
        <v>0.04</v>
      </c>
      <c r="H25" s="6">
        <v>-0.18</v>
      </c>
      <c r="I25" s="6">
        <v>-7.0000000000000007E-2</v>
      </c>
      <c r="J25" s="6">
        <v>-5.78</v>
      </c>
      <c r="K25" s="6">
        <v>0.11</v>
      </c>
      <c r="L25" s="6">
        <v>-1</v>
      </c>
      <c r="M25" s="6">
        <v>-0.21</v>
      </c>
      <c r="N25" s="6">
        <v>0.02</v>
      </c>
      <c r="O25" s="6">
        <v>-0.18</v>
      </c>
      <c r="P25" s="6">
        <v>-0.27</v>
      </c>
      <c r="Q25" s="6">
        <v>-0.15</v>
      </c>
      <c r="R25" s="6">
        <v>-0.22</v>
      </c>
    </row>
    <row r="26" spans="2:18" s="8" customFormat="1" x14ac:dyDescent="0.2">
      <c r="B26" s="8" t="s">
        <v>48</v>
      </c>
      <c r="D26" s="8">
        <v>0.36</v>
      </c>
      <c r="E26" s="8">
        <v>0.4</v>
      </c>
      <c r="F26" s="8">
        <v>0.32</v>
      </c>
      <c r="G26" s="8">
        <v>0.38</v>
      </c>
      <c r="H26" s="8">
        <v>0.27</v>
      </c>
      <c r="I26" s="8">
        <v>0.31</v>
      </c>
      <c r="J26" s="8">
        <v>0.16</v>
      </c>
      <c r="K26" s="8">
        <v>0.39</v>
      </c>
      <c r="L26" s="8">
        <v>-0.27</v>
      </c>
      <c r="M26" s="8">
        <v>0.18</v>
      </c>
      <c r="N26" s="8">
        <v>0.34</v>
      </c>
      <c r="O26" s="8">
        <v>0.21</v>
      </c>
      <c r="P26" s="8">
        <v>0.13</v>
      </c>
      <c r="Q26" s="8">
        <v>0.21</v>
      </c>
      <c r="R26" s="8">
        <v>0.15</v>
      </c>
    </row>
    <row r="28" spans="2:18" s="9" customFormat="1" ht="15" x14ac:dyDescent="0.25">
      <c r="B28" s="30" t="s">
        <v>25</v>
      </c>
      <c r="C28" s="30"/>
      <c r="D28" s="30">
        <v>51</v>
      </c>
      <c r="E28" s="30">
        <v>182</v>
      </c>
      <c r="F28" s="31">
        <v>162</v>
      </c>
      <c r="G28" s="31">
        <v>151</v>
      </c>
      <c r="H28" s="31">
        <v>172</v>
      </c>
      <c r="I28" s="31">
        <v>26</v>
      </c>
      <c r="J28" s="31">
        <v>88</v>
      </c>
      <c r="K28" s="31">
        <v>109</v>
      </c>
      <c r="L28" s="31">
        <v>88</v>
      </c>
      <c r="M28" s="9">
        <v>30</v>
      </c>
      <c r="N28" s="9">
        <v>126</v>
      </c>
      <c r="O28" s="9">
        <v>204</v>
      </c>
      <c r="P28" s="9">
        <v>109</v>
      </c>
      <c r="Q28" s="9">
        <v>213</v>
      </c>
      <c r="R28" s="9">
        <v>167</v>
      </c>
    </row>
    <row r="29" spans="2:18" outlineLevel="1" x14ac:dyDescent="0.2">
      <c r="B29" s="27" t="s">
        <v>24</v>
      </c>
      <c r="C29" s="27"/>
      <c r="D29" s="27">
        <v>27</v>
      </c>
      <c r="E29" s="27">
        <v>26</v>
      </c>
      <c r="F29" s="28">
        <v>26</v>
      </c>
      <c r="G29" s="28">
        <v>32</v>
      </c>
      <c r="H29" s="28">
        <v>26</v>
      </c>
      <c r="I29" s="28">
        <v>32</v>
      </c>
      <c r="J29" s="28">
        <v>17</v>
      </c>
      <c r="K29" s="28">
        <v>23</v>
      </c>
      <c r="L29" s="28">
        <v>22</v>
      </c>
      <c r="M29" s="28">
        <v>24</v>
      </c>
      <c r="N29" s="1">
        <v>22</v>
      </c>
      <c r="O29" s="10">
        <v>13</v>
      </c>
      <c r="P29" s="1">
        <v>14</v>
      </c>
      <c r="Q29" s="1">
        <v>14</v>
      </c>
      <c r="R29" s="1">
        <v>24</v>
      </c>
    </row>
    <row r="30" spans="2:18" s="9" customFormat="1" ht="15" x14ac:dyDescent="0.25">
      <c r="B30" s="30" t="s">
        <v>13</v>
      </c>
      <c r="D30" s="9">
        <f t="shared" ref="D30:O30" si="11">D28-D29</f>
        <v>24</v>
      </c>
      <c r="E30" s="9">
        <f t="shared" si="11"/>
        <v>156</v>
      </c>
      <c r="F30" s="9">
        <f t="shared" si="11"/>
        <v>136</v>
      </c>
      <c r="G30" s="9">
        <f t="shared" si="11"/>
        <v>119</v>
      </c>
      <c r="H30" s="9">
        <f t="shared" si="11"/>
        <v>146</v>
      </c>
      <c r="I30" s="9">
        <f t="shared" si="11"/>
        <v>-6</v>
      </c>
      <c r="J30" s="9">
        <f t="shared" si="11"/>
        <v>71</v>
      </c>
      <c r="K30" s="9">
        <f t="shared" si="11"/>
        <v>86</v>
      </c>
      <c r="L30" s="9">
        <f t="shared" si="11"/>
        <v>66</v>
      </c>
      <c r="M30" s="9">
        <f t="shared" si="11"/>
        <v>6</v>
      </c>
      <c r="N30" s="9">
        <f t="shared" si="11"/>
        <v>104</v>
      </c>
      <c r="O30" s="9">
        <f t="shared" si="11"/>
        <v>191</v>
      </c>
      <c r="P30" s="9">
        <f>P28-P29</f>
        <v>95</v>
      </c>
      <c r="Q30" s="9">
        <f>Q28-Q29</f>
        <v>199</v>
      </c>
      <c r="R30" s="9">
        <f>R28-R29</f>
        <v>143</v>
      </c>
    </row>
    <row r="31" spans="2:18" x14ac:dyDescent="0.2">
      <c r="B31" s="27"/>
      <c r="F31" s="28"/>
      <c r="G31" s="28"/>
      <c r="H31" s="28"/>
      <c r="I31" s="28"/>
      <c r="J31" s="28"/>
      <c r="K31" s="28"/>
      <c r="L31" s="28"/>
    </row>
    <row r="32" spans="2:18" x14ac:dyDescent="0.2">
      <c r="B32" s="27" t="s">
        <v>36</v>
      </c>
      <c r="D32" s="1" t="s">
        <v>45</v>
      </c>
      <c r="E32" s="1" t="s">
        <v>45</v>
      </c>
      <c r="F32" s="6" t="s">
        <v>45</v>
      </c>
      <c r="G32" s="6" t="s">
        <v>45</v>
      </c>
      <c r="H32" s="6">
        <f t="shared" ref="H32:O32" si="12">IF(D30=0,IF(H30=0,0,NA()),(H30-D30)/ABS(D30))</f>
        <v>5.083333333333333</v>
      </c>
      <c r="I32" s="6">
        <f t="shared" si="12"/>
        <v>-1.0384615384615385</v>
      </c>
      <c r="J32" s="6">
        <f t="shared" si="12"/>
        <v>-0.47794117647058826</v>
      </c>
      <c r="K32" s="6">
        <f t="shared" si="12"/>
        <v>-0.27731092436974791</v>
      </c>
      <c r="L32" s="6">
        <f t="shared" si="12"/>
        <v>-0.54794520547945202</v>
      </c>
      <c r="M32" s="6">
        <f t="shared" si="12"/>
        <v>2</v>
      </c>
      <c r="N32" s="6">
        <f t="shared" si="12"/>
        <v>0.46478873239436619</v>
      </c>
      <c r="O32" s="6">
        <f t="shared" si="12"/>
        <v>1.2209302325581395</v>
      </c>
      <c r="P32" s="6">
        <f>IF(L30=0,IF(P30=0,0,NA()),(P30-L30)/ABS(L30))</f>
        <v>0.43939393939393939</v>
      </c>
      <c r="Q32" s="6">
        <f>IF(M30=0,IF(Q30=0,0,NA()),(Q30-M30)/ABS(M30))</f>
        <v>32.166666666666664</v>
      </c>
      <c r="R32" s="6">
        <f>IF(N30=0,IF(R30=0,0,NA()),(R30-N30)/ABS(N30))</f>
        <v>0.375</v>
      </c>
    </row>
    <row r="34" spans="2:26" ht="15" thickBot="1" x14ac:dyDescent="0.25">
      <c r="B34" s="27"/>
      <c r="G34" s="11"/>
    </row>
    <row r="35" spans="2:26" x14ac:dyDescent="0.2">
      <c r="B35" s="12" t="s">
        <v>37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4"/>
      <c r="R35" s="13"/>
      <c r="S35" s="13"/>
      <c r="T35" s="13"/>
      <c r="U35" s="13"/>
      <c r="V35" s="13"/>
      <c r="W35" s="13"/>
      <c r="X35" s="13"/>
      <c r="Y35" s="13"/>
      <c r="Z35" s="15"/>
    </row>
    <row r="36" spans="2:26" x14ac:dyDescent="0.2">
      <c r="B36" s="16"/>
      <c r="Z36" s="17"/>
    </row>
    <row r="37" spans="2:26" x14ac:dyDescent="0.2">
      <c r="B37" s="16"/>
      <c r="Q37" s="18"/>
      <c r="Z37" s="17"/>
    </row>
    <row r="38" spans="2:26" ht="15" thickBot="1" x14ac:dyDescent="0.25"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 spans="2:26" ht="15" thickBot="1" x14ac:dyDescent="0.25"/>
    <row r="40" spans="2:26" x14ac:dyDescent="0.2">
      <c r="B40" s="12" t="s">
        <v>39</v>
      </c>
      <c r="C40" s="13"/>
      <c r="D40" s="13"/>
      <c r="E40" s="13"/>
      <c r="F40" s="13"/>
      <c r="G40" s="13"/>
      <c r="H40" s="13"/>
      <c r="I40" s="13"/>
      <c r="J40" s="1" t="s">
        <v>59</v>
      </c>
      <c r="K40" s="13"/>
      <c r="L40" s="13"/>
      <c r="M40" s="13"/>
      <c r="N40" s="13"/>
      <c r="O40" s="13"/>
      <c r="P40" s="13"/>
      <c r="Q40" s="13"/>
      <c r="R40" s="13"/>
      <c r="S40" s="15"/>
    </row>
    <row r="41" spans="2:26" x14ac:dyDescent="0.2">
      <c r="B41" s="16"/>
      <c r="G41" s="1" t="s">
        <v>61</v>
      </c>
      <c r="J41" s="1" t="s">
        <v>64</v>
      </c>
      <c r="P41" s="1" t="s">
        <v>63</v>
      </c>
      <c r="S41" s="17"/>
    </row>
    <row r="42" spans="2:26" x14ac:dyDescent="0.2">
      <c r="B42" s="16"/>
      <c r="D42" s="1" t="s">
        <v>62</v>
      </c>
      <c r="N42" s="1" t="s">
        <v>60</v>
      </c>
      <c r="S42" s="17"/>
    </row>
    <row r="43" spans="2:26" x14ac:dyDescent="0.2">
      <c r="B43" s="16"/>
      <c r="L43" s="1" t="s">
        <v>58</v>
      </c>
      <c r="S43" s="17"/>
    </row>
    <row r="44" spans="2:26" ht="15" thickBot="1" x14ac:dyDescent="0.25">
      <c r="B44" s="19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1"/>
    </row>
    <row r="45" spans="2:26" ht="15" thickBot="1" x14ac:dyDescent="0.25"/>
    <row r="46" spans="2:26" x14ac:dyDescent="0.2">
      <c r="B46" s="12"/>
      <c r="C46" s="13"/>
    </row>
    <row r="47" spans="2:26" x14ac:dyDescent="0.2">
      <c r="B47" s="16"/>
    </row>
    <row r="48" spans="2:26" x14ac:dyDescent="0.2">
      <c r="B48" s="16"/>
    </row>
    <row r="49" spans="2:26" x14ac:dyDescent="0.2">
      <c r="B49" s="16"/>
    </row>
    <row r="50" spans="2:26" ht="15" thickBot="1" x14ac:dyDescent="0.25">
      <c r="B50" s="19"/>
      <c r="C50" s="20"/>
    </row>
    <row r="51" spans="2:26" ht="15" thickBot="1" x14ac:dyDescent="0.25"/>
    <row r="52" spans="2:26" x14ac:dyDescent="0.2">
      <c r="B52" s="12" t="s">
        <v>65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5"/>
    </row>
    <row r="53" spans="2:26" x14ac:dyDescent="0.2">
      <c r="B53" s="16"/>
      <c r="Z53" s="17"/>
    </row>
    <row r="54" spans="2:26" ht="15" customHeight="1" x14ac:dyDescent="0.2">
      <c r="B54" s="16" t="s">
        <v>66</v>
      </c>
      <c r="C54" s="32" t="s">
        <v>67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3"/>
    </row>
    <row r="55" spans="2:26" ht="15" customHeight="1" x14ac:dyDescent="0.2">
      <c r="B55" s="16"/>
      <c r="C55" s="32" t="s">
        <v>68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3"/>
    </row>
    <row r="56" spans="2:26" ht="15" customHeight="1" x14ac:dyDescent="0.2">
      <c r="B56" s="16"/>
      <c r="C56" s="32" t="s">
        <v>70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3"/>
    </row>
    <row r="57" spans="2:26" ht="15" customHeight="1" x14ac:dyDescent="0.2">
      <c r="B57" s="16"/>
      <c r="C57" s="32" t="s">
        <v>69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3"/>
    </row>
    <row r="58" spans="2:26" ht="15" customHeight="1" x14ac:dyDescent="0.2">
      <c r="B58" s="16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3"/>
    </row>
    <row r="59" spans="2:26" ht="15" customHeight="1" x14ac:dyDescent="0.2">
      <c r="B59" s="16" t="s">
        <v>71</v>
      </c>
      <c r="C59" s="32" t="s">
        <v>72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3"/>
    </row>
    <row r="60" spans="2:26" ht="15" customHeight="1" x14ac:dyDescent="0.2">
      <c r="B60" s="16" t="s">
        <v>73</v>
      </c>
      <c r="C60" s="32" t="s">
        <v>74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3"/>
    </row>
    <row r="61" spans="2:26" ht="15" customHeight="1" x14ac:dyDescent="0.2">
      <c r="B61" s="16" t="s">
        <v>75</v>
      </c>
      <c r="C61" s="32" t="s">
        <v>78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3"/>
    </row>
    <row r="62" spans="2:26" ht="15" customHeight="1" x14ac:dyDescent="0.2">
      <c r="B62" s="16" t="s">
        <v>77</v>
      </c>
      <c r="C62" s="32" t="s">
        <v>76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3"/>
    </row>
    <row r="63" spans="2:26" ht="15.75" customHeight="1" x14ac:dyDescent="0.2">
      <c r="B63" s="16" t="s">
        <v>81</v>
      </c>
      <c r="C63" s="32" t="s">
        <v>83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3"/>
    </row>
    <row r="64" spans="2:26" ht="15" x14ac:dyDescent="0.25">
      <c r="B64" s="16" t="s">
        <v>79</v>
      </c>
      <c r="C64" s="1" t="s">
        <v>80</v>
      </c>
      <c r="K64" s="9" t="s">
        <v>82</v>
      </c>
      <c r="Z64" s="17"/>
    </row>
    <row r="65" spans="2:26" x14ac:dyDescent="0.2">
      <c r="B65" s="16"/>
      <c r="Z65" s="17"/>
    </row>
    <row r="66" spans="2:26" x14ac:dyDescent="0.2">
      <c r="B66" s="16"/>
      <c r="Z66" s="17"/>
    </row>
    <row r="67" spans="2:26" x14ac:dyDescent="0.2">
      <c r="B67" s="16" t="s">
        <v>84</v>
      </c>
      <c r="C67" s="1" t="s">
        <v>85</v>
      </c>
      <c r="Z67" s="17"/>
    </row>
    <row r="68" spans="2:26" x14ac:dyDescent="0.2">
      <c r="B68" s="16"/>
      <c r="C68" s="1" t="s">
        <v>86</v>
      </c>
      <c r="Z68" s="17"/>
    </row>
    <row r="69" spans="2:26" x14ac:dyDescent="0.2">
      <c r="B69" s="16"/>
      <c r="C69" s="1" t="s">
        <v>87</v>
      </c>
      <c r="Z69" s="17"/>
    </row>
    <row r="70" spans="2:26" x14ac:dyDescent="0.2">
      <c r="B70" s="16"/>
      <c r="C70" s="1" t="s">
        <v>88</v>
      </c>
      <c r="Z70" s="17"/>
    </row>
    <row r="71" spans="2:26" x14ac:dyDescent="0.2">
      <c r="B71" s="16"/>
      <c r="Z71" s="17"/>
    </row>
    <row r="72" spans="2:26" x14ac:dyDescent="0.2">
      <c r="B72" s="16" t="s">
        <v>89</v>
      </c>
      <c r="C72" s="1" t="s">
        <v>90</v>
      </c>
      <c r="Z72" s="17"/>
    </row>
    <row r="73" spans="2:26" x14ac:dyDescent="0.2">
      <c r="B73" s="16" t="s">
        <v>91</v>
      </c>
      <c r="Z73" s="17"/>
    </row>
    <row r="74" spans="2:26" x14ac:dyDescent="0.2">
      <c r="B74" s="16" t="s">
        <v>92</v>
      </c>
      <c r="C74" s="1" t="s">
        <v>95</v>
      </c>
      <c r="Z74" s="17"/>
    </row>
    <row r="75" spans="2:26" x14ac:dyDescent="0.2">
      <c r="B75" s="16" t="s">
        <v>93</v>
      </c>
      <c r="C75" s="1" t="s">
        <v>94</v>
      </c>
      <c r="Z75" s="17"/>
    </row>
    <row r="76" spans="2:26" x14ac:dyDescent="0.2">
      <c r="B76" s="16" t="s">
        <v>96</v>
      </c>
      <c r="C76" s="1" t="s">
        <v>97</v>
      </c>
      <c r="Z76" s="17"/>
    </row>
    <row r="77" spans="2:26" ht="15" thickBot="1" x14ac:dyDescent="0.25">
      <c r="B77" s="19" t="s">
        <v>98</v>
      </c>
      <c r="C77" s="20" t="s">
        <v>99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1"/>
    </row>
  </sheetData>
  <dataConsolidate/>
  <mergeCells count="10">
    <mergeCell ref="C63:Z63"/>
    <mergeCell ref="C54:Z54"/>
    <mergeCell ref="C55:Z55"/>
    <mergeCell ref="C56:Z56"/>
    <mergeCell ref="C57:Z57"/>
    <mergeCell ref="C58:Z58"/>
    <mergeCell ref="C59:Z59"/>
    <mergeCell ref="C60:Z60"/>
    <mergeCell ref="C61:Z61"/>
    <mergeCell ref="C62:Z62"/>
  </mergeCells>
  <hyperlinks>
    <hyperlink ref="A1" location="Main!A1" display="Main" xr:uid="{8700012B-1663-4F72-A9B4-B92390B41D1E}"/>
  </hyperlink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AACC-FEA2-4C5B-AF79-59D39A66A975}">
  <dimension ref="A1:K13"/>
  <sheetViews>
    <sheetView workbookViewId="0">
      <selection activeCell="A9" sqref="A9"/>
    </sheetView>
  </sheetViews>
  <sheetFormatPr defaultRowHeight="14.25" x14ac:dyDescent="0.2"/>
  <cols>
    <col min="1" max="1" width="18.28515625" style="34" bestFit="1" customWidth="1"/>
    <col min="2" max="2" width="21.140625" style="34" bestFit="1" customWidth="1"/>
    <col min="3" max="3" width="10.28515625" style="34" bestFit="1" customWidth="1"/>
    <col min="4" max="4" width="23" style="34" bestFit="1" customWidth="1"/>
    <col min="5" max="5" width="14.7109375" style="34" bestFit="1" customWidth="1"/>
    <col min="6" max="6" width="19" style="34" bestFit="1" customWidth="1"/>
    <col min="7" max="7" width="64.85546875" style="34" bestFit="1" customWidth="1"/>
    <col min="8" max="8" width="10.5703125" style="34" bestFit="1" customWidth="1"/>
    <col min="9" max="9" width="13.42578125" style="34" bestFit="1" customWidth="1"/>
    <col min="10" max="10" width="19.7109375" style="34" bestFit="1" customWidth="1"/>
    <col min="11" max="11" width="13.7109375" style="34" bestFit="1" customWidth="1"/>
    <col min="12" max="16384" width="9.140625" style="34"/>
  </cols>
  <sheetData>
    <row r="1" spans="1:11" ht="30" x14ac:dyDescent="0.2">
      <c r="A1" s="35" t="s">
        <v>108</v>
      </c>
      <c r="B1" s="35" t="s">
        <v>109</v>
      </c>
      <c r="C1" s="35" t="s">
        <v>110</v>
      </c>
      <c r="D1" s="35" t="s">
        <v>111</v>
      </c>
      <c r="E1" s="35" t="s">
        <v>112</v>
      </c>
      <c r="F1" s="35" t="s">
        <v>113</v>
      </c>
      <c r="G1" s="35" t="s">
        <v>114</v>
      </c>
      <c r="H1" s="22"/>
      <c r="I1" s="22"/>
      <c r="J1" s="22"/>
      <c r="K1" s="22"/>
    </row>
    <row r="2" spans="1:11" ht="28.5" x14ac:dyDescent="0.2">
      <c r="A2" s="36" t="s">
        <v>115</v>
      </c>
      <c r="B2" s="37" t="s">
        <v>116</v>
      </c>
      <c r="C2" s="37" t="s">
        <v>117</v>
      </c>
      <c r="D2" s="37" t="s">
        <v>118</v>
      </c>
      <c r="E2" s="37" t="s">
        <v>119</v>
      </c>
      <c r="F2" s="37" t="s">
        <v>120</v>
      </c>
      <c r="G2" s="37" t="s">
        <v>121</v>
      </c>
      <c r="H2" s="23"/>
      <c r="I2" s="23"/>
      <c r="J2" s="23"/>
      <c r="K2" s="23"/>
    </row>
    <row r="3" spans="1:11" ht="28.5" x14ac:dyDescent="0.2">
      <c r="A3" s="36" t="s">
        <v>122</v>
      </c>
      <c r="B3" s="37" t="s">
        <v>123</v>
      </c>
      <c r="C3" s="37" t="s">
        <v>124</v>
      </c>
      <c r="D3" s="37" t="s">
        <v>125</v>
      </c>
      <c r="E3" s="37" t="s">
        <v>126</v>
      </c>
      <c r="F3" s="37" t="s">
        <v>127</v>
      </c>
      <c r="G3" s="37" t="s">
        <v>128</v>
      </c>
      <c r="H3" s="38"/>
      <c r="I3" s="38"/>
      <c r="J3" s="38"/>
      <c r="K3" s="38"/>
    </row>
    <row r="4" spans="1:11" ht="28.5" x14ac:dyDescent="0.2">
      <c r="A4" s="36" t="s">
        <v>129</v>
      </c>
      <c r="B4" s="37" t="s">
        <v>130</v>
      </c>
      <c r="C4" s="37" t="s">
        <v>131</v>
      </c>
      <c r="D4" s="37" t="s">
        <v>132</v>
      </c>
      <c r="E4" s="37" t="s">
        <v>133</v>
      </c>
      <c r="F4" s="37" t="s">
        <v>134</v>
      </c>
      <c r="G4" s="37" t="s">
        <v>135</v>
      </c>
      <c r="H4" s="38"/>
      <c r="I4" s="23"/>
      <c r="J4" s="38"/>
      <c r="K4" s="38"/>
    </row>
    <row r="5" spans="1:11" ht="57" x14ac:dyDescent="0.2">
      <c r="A5" s="36" t="s">
        <v>141</v>
      </c>
      <c r="B5" s="39" t="s">
        <v>136</v>
      </c>
      <c r="C5" s="39" t="s">
        <v>137</v>
      </c>
      <c r="D5" s="39" t="s">
        <v>138</v>
      </c>
      <c r="E5" s="39" t="s">
        <v>139</v>
      </c>
      <c r="F5" s="39" t="s">
        <v>140</v>
      </c>
      <c r="G5" s="39" t="s">
        <v>140</v>
      </c>
      <c r="H5" s="38"/>
      <c r="I5" s="38"/>
      <c r="J5" s="38"/>
      <c r="K5" s="38"/>
    </row>
    <row r="6" spans="1:11" ht="15" x14ac:dyDescent="0.2">
      <c r="A6" s="23"/>
      <c r="B6" s="38"/>
      <c r="C6" s="23"/>
      <c r="D6" s="23"/>
      <c r="E6" s="40"/>
      <c r="F6" s="40"/>
      <c r="G6" s="38"/>
      <c r="H6" s="38"/>
      <c r="I6" s="38"/>
      <c r="J6" s="38"/>
      <c r="K6" s="38"/>
    </row>
    <row r="7" spans="1:11" ht="15" x14ac:dyDescent="0.2">
      <c r="A7" s="23"/>
      <c r="B7" s="38"/>
      <c r="C7" s="23"/>
      <c r="D7" s="24"/>
      <c r="E7" s="40"/>
      <c r="F7" s="40"/>
      <c r="G7" s="23"/>
      <c r="H7" s="38"/>
      <c r="I7" s="38"/>
      <c r="J7" s="38"/>
      <c r="K7" s="38"/>
    </row>
    <row r="8" spans="1:11" x14ac:dyDescent="0.2">
      <c r="A8" s="34" t="s">
        <v>153</v>
      </c>
    </row>
    <row r="9" spans="1:11" ht="30" x14ac:dyDescent="0.2">
      <c r="A9" s="35" t="s">
        <v>142</v>
      </c>
      <c r="B9" s="35" t="s">
        <v>143</v>
      </c>
      <c r="C9" s="35" t="s">
        <v>144</v>
      </c>
    </row>
    <row r="10" spans="1:11" ht="213.75" x14ac:dyDescent="0.2">
      <c r="A10" s="36">
        <v>2025</v>
      </c>
      <c r="B10" s="36" t="s">
        <v>145</v>
      </c>
      <c r="C10" s="37" t="s">
        <v>146</v>
      </c>
    </row>
    <row r="11" spans="1:11" ht="142.5" x14ac:dyDescent="0.2">
      <c r="A11" s="36">
        <v>2024</v>
      </c>
      <c r="B11" s="36" t="s">
        <v>147</v>
      </c>
      <c r="C11" s="37" t="s">
        <v>148</v>
      </c>
    </row>
    <row r="12" spans="1:11" ht="213.75" x14ac:dyDescent="0.2">
      <c r="A12" s="36">
        <v>2023</v>
      </c>
      <c r="B12" s="36" t="s">
        <v>149</v>
      </c>
      <c r="C12" s="37" t="s">
        <v>150</v>
      </c>
    </row>
    <row r="13" spans="1:11" ht="114" x14ac:dyDescent="0.2">
      <c r="A13" s="36">
        <v>2022</v>
      </c>
      <c r="B13" s="36" t="s">
        <v>151</v>
      </c>
      <c r="C13" s="37" t="s">
        <v>152</v>
      </c>
    </row>
  </sheetData>
  <hyperlinks>
    <hyperlink ref="B2" r:id="rId1" tooltip="MBLY - Mobileye Global Inc Stock Price and Quote" display="https://finviz.com/quote.ashx?t=MBLY" xr:uid="{FD61310C-B71E-470A-9660-404E7229D638}"/>
    <hyperlink ref="C2" r:id="rId2" tooltip="NVDA - NVIDIA Corp Stock Price and Quote" display="https://finviz.com/quote.ashx?t=NVDA" xr:uid="{3DCD4874-8C1C-4989-A2B8-68CFD9C6D6B6}"/>
    <hyperlink ref="D2" r:id="rId3" tooltip="QCOM - Qualcomm, Inc Stock Price and Quote" display="https://finviz.com/quote.ashx?t=QCOM" xr:uid="{C6076AFF-E5BE-4036-AB0D-57382F414029}"/>
    <hyperlink ref="E2" r:id="rId4" tooltip="AMBA - Ambarella Inc Stock Price and Quote" display="https://finviz.com/quote.ashx?t=AMBA" xr:uid="{61CB2478-1DBB-4720-AAFC-B74F6ABFE077}"/>
    <hyperlink ref="F2" r:id="rId5" tooltip="APTV - Aptiv PLC Stock Price and Quote" display="https://finviz.com/quote.ashx?t=APTV" xr:uid="{1B8627CC-390D-4D34-8C6C-93CD159FEB18}"/>
    <hyperlink ref="G2" r:id="rId6" tooltip="BIDU - Baidu Inc ADR Stock Price and Quote" display="https://finviz.com/quote.ashx?t=BIDU" xr:uid="{E1D38789-C4A0-4E3A-B859-83A8ADD1C238}"/>
    <hyperlink ref="B3" r:id="rId7" tooltip="MBLY - Mobileye Global Inc Stock Price and Quote" display="https://finviz.com/quote.ashx?t=MBLY" xr:uid="{E973A86F-BED1-4DB9-B25F-AA43FB2BFC86}"/>
    <hyperlink ref="C3" r:id="rId8" tooltip="NVDA - NVIDIA Corp Stock Price and Quote" display="https://finviz.com/quote.ashx?t=NVDA" xr:uid="{7FB7B454-5217-43D8-9BD7-9C267C01A751}"/>
    <hyperlink ref="D3" r:id="rId9" tooltip="QCOM - Qualcomm, Inc Stock Price and Quote" display="https://finviz.com/quote.ashx?t=QCOM" xr:uid="{0472AE30-9314-409B-90F7-6046BE35B9B7}"/>
    <hyperlink ref="E3" r:id="rId10" tooltip="AMBA - Ambarella Inc Stock Price and Quote" display="https://finviz.com/quote.ashx?t=AMBA" xr:uid="{9341FCBC-1C8F-4AFE-A87B-4E13204C95AE}"/>
    <hyperlink ref="F3" r:id="rId11" tooltip="APTV - Aptiv PLC Stock Price and Quote" display="https://finviz.com/quote.ashx?t=APTV" xr:uid="{7CB95D11-A5D6-495A-AC00-218D3062383D}"/>
    <hyperlink ref="G3" r:id="rId12" tooltip="BIDU - Baidu Inc ADR Stock Price and Quote" display="https://finviz.com/quote.ashx?t=BIDU" xr:uid="{F882AF02-BD09-4AF7-82F0-C4F9CA53460F}"/>
    <hyperlink ref="B4" r:id="rId13" tooltip="MBLY - Mobileye Global Inc Stock Price and Quote" display="https://finviz.com/quote.ashx?t=MBLY" xr:uid="{64EE83B4-C1C5-4F2F-BF56-BEDFA3B57A2D}"/>
    <hyperlink ref="C4" r:id="rId14" tooltip="NVDA - NVIDIA Corp Stock Price and Quote" display="https://finviz.com/quote.ashx?t=NVDA" xr:uid="{5841703E-3248-486E-BE83-5F851282F3AD}"/>
    <hyperlink ref="D4" r:id="rId15" tooltip="QCOM - Qualcomm, Inc Stock Price and Quote" display="https://finviz.com/quote.ashx?t=QCOM" xr:uid="{D7221227-10C8-46ED-A50B-9FC3F76093DD}"/>
    <hyperlink ref="E4" r:id="rId16" tooltip="AMBA - Ambarella Inc Stock Price and Quote" display="https://finviz.com/quote.ashx?t=AMBA" xr:uid="{D12366A3-CD3D-49D4-9DC8-404B816059BC}"/>
    <hyperlink ref="F4" r:id="rId17" tooltip="APTV - Aptiv PLC Stock Price and Quote" display="https://finviz.com/quote.ashx?t=APTV" xr:uid="{EDF37B76-1B0C-4C8C-8B22-7013CB5B2179}"/>
    <hyperlink ref="G4" r:id="rId18" tooltip="BIDU - Baidu Inc ADR Stock Price and Quote" display="https://finviz.com/quote.ashx?t=BIDU" xr:uid="{3A3A38ED-27D4-406B-BE0A-C562338CBCAE}"/>
    <hyperlink ref="C10" r:id="rId19" tooltip="QUALCOMM Incorporated" display="https://s204.q4cdn.com/645488518/files/doc_financials/2025/q4/QCOM-09-28-25-FY2025-10-K-Final.pdf?utm_source=chatgpt.com" xr:uid="{3F8294BB-C820-4C8A-8D6A-73A3A9906AB6}"/>
    <hyperlink ref="C11" r:id="rId20" tooltip="QUALCOMM Incorporated" display="https://s204.q4cdn.com/645488518/files/doc_financials/2025/q4/QCOM-09-28-25-FY2025-10-K-Final.pdf?utm_source=chatgpt.com" xr:uid="{50DA5D78-0BBB-4C32-A451-F864DF650640}"/>
    <hyperlink ref="C12" r:id="rId21" tooltip="526bc07f2939fb6478c612a2e77..." display="https://device.report/m/526bc07f2939fb6478c612a2e770c00ec49be1a9f01e54b6419bce82483b31b8_pdf?utm_source=chatgpt.com" xr:uid="{1AB48E11-F440-4B10-894A-ECA5DF8C9E8A}"/>
    <hyperlink ref="C13" r:id="rId22" tooltip="526bc07f2939fb6478c612a2e77..." display="https://device.report/m/526bc07f2939fb6478c612a2e770c00ec49be1a9f01e54b6419bce82483b31b8_pdf?utm_source=chatgpt.com" xr:uid="{129C9D2F-0DD1-4B51-9F44-4C23C7F4A8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BEE4C9A91F44BB4A4EF8E0A71E02" ma:contentTypeVersion="4" ma:contentTypeDescription="Create a new document." ma:contentTypeScope="" ma:versionID="d4db93f7cdcc50be3ddb7642c8d50e9a">
  <xsd:schema xmlns:xsd="http://www.w3.org/2001/XMLSchema" xmlns:xs="http://www.w3.org/2001/XMLSchema" xmlns:p="http://schemas.microsoft.com/office/2006/metadata/properties" xmlns:ns3="878aac0c-df32-40a9-a231-d93e9c7b9b1a" targetNamespace="http://schemas.microsoft.com/office/2006/metadata/properties" ma:root="true" ma:fieldsID="b63aaf3684aa43c37ed0cc1f5c2cf36e" ns3:_="">
    <xsd:import namespace="878aac0c-df32-40a9-a231-d93e9c7b9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aac0c-df32-40a9-a231-d93e9c7b9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D266F6-4EBB-4FCE-8CE5-50B9641EB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aac0c-df32-40a9-a231-d93e9c7b9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A951E8-5D72-42FD-8030-87DD7D8D4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65B96D-4012-4621-9665-52F685045C2D}">
  <ds:schemaRefs>
    <ds:schemaRef ds:uri="878aac0c-df32-40a9-a231-d93e9c7b9b1a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Peer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Quach</dc:creator>
  <cp:lastModifiedBy>Joey Chew</cp:lastModifiedBy>
  <dcterms:created xsi:type="dcterms:W3CDTF">2025-03-07T15:54:01Z</dcterms:created>
  <dcterms:modified xsi:type="dcterms:W3CDTF">2025-11-20T15:38:41Z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0x010100C341BEE4C9A91F44BB4A4EF8E0A71E02</vt:lpwstr>
  </property>
</Properties>
</file>