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Models\Food\"/>
    </mc:Choice>
  </mc:AlternateContent>
  <xr:revisionPtr revIDLastSave="0" documentId="13_ncr:1_{69ED42E1-01D0-41BD-8A25-E40B26FF9D21}" xr6:coauthVersionLast="47" xr6:coauthVersionMax="47" xr10:uidLastSave="{00000000-0000-0000-0000-000000000000}"/>
  <bookViews>
    <workbookView xWindow="19095" yWindow="0" windowWidth="19410" windowHeight="20985" xr2:uid="{006E891F-7322-4565-B1AF-450BC4BA998A}"/>
  </bookViews>
  <sheets>
    <sheet name="Main" sheetId="1" r:id="rId1"/>
    <sheet name="Model" sheetId="3" r:id="rId2"/>
    <sheet name="Slides" sheetId="6" r:id="rId3"/>
    <sheet name="Debt" sheetId="4" r:id="rId4"/>
    <sheet name="Peer Comparis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1" i="3" l="1"/>
  <c r="AA20" i="3"/>
  <c r="AA16" i="3"/>
  <c r="AA13" i="3"/>
  <c r="AA10" i="3"/>
  <c r="Z32" i="3"/>
  <c r="Z21" i="3"/>
  <c r="Z20" i="3"/>
  <c r="Z16" i="3"/>
  <c r="Z10" i="3"/>
  <c r="Z13" i="3" s="1"/>
  <c r="G14" i="5"/>
  <c r="H14" i="5"/>
  <c r="I14" i="5"/>
  <c r="J14" i="5"/>
  <c r="K14" i="5"/>
  <c r="L14" i="5"/>
  <c r="M14" i="5"/>
  <c r="N14" i="5"/>
  <c r="F14" i="5"/>
  <c r="Y32" i="3" l="1"/>
  <c r="X32" i="3"/>
  <c r="W32" i="3"/>
  <c r="V32" i="3"/>
  <c r="U32" i="3"/>
  <c r="Y38" i="3" s="1"/>
  <c r="T32" i="3"/>
  <c r="S32" i="3"/>
  <c r="W38" i="3" s="1"/>
  <c r="R32" i="3"/>
  <c r="Q32" i="3"/>
  <c r="P32" i="3"/>
  <c r="O32" i="3"/>
  <c r="N32" i="3"/>
  <c r="M32" i="3"/>
  <c r="M38" i="3" s="1"/>
  <c r="L32" i="3"/>
  <c r="L38" i="3" s="1"/>
  <c r="K32" i="3"/>
  <c r="K38" i="3" s="1"/>
  <c r="J32" i="3"/>
  <c r="J38" i="3" s="1"/>
  <c r="I32" i="3"/>
  <c r="H32" i="3"/>
  <c r="G32" i="3"/>
  <c r="F32" i="3"/>
  <c r="E32" i="3"/>
  <c r="I38" i="3" s="1"/>
  <c r="D32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Y10" i="3"/>
  <c r="Y13" i="3" s="1"/>
  <c r="X10" i="3"/>
  <c r="X13" i="3" s="1"/>
  <c r="W10" i="3"/>
  <c r="W13" i="3" s="1"/>
  <c r="V10" i="3"/>
  <c r="V13" i="3" s="1"/>
  <c r="U10" i="3"/>
  <c r="U13" i="3" s="1"/>
  <c r="T10" i="3"/>
  <c r="T13" i="3" s="1"/>
  <c r="S10" i="3"/>
  <c r="S13" i="3" s="1"/>
  <c r="R10" i="3"/>
  <c r="R13" i="3" s="1"/>
  <c r="Q10" i="3"/>
  <c r="Q13" i="3" s="1"/>
  <c r="P10" i="3"/>
  <c r="P13" i="3" s="1"/>
  <c r="O10" i="3"/>
  <c r="O13" i="3" s="1"/>
  <c r="N10" i="3"/>
  <c r="N13" i="3" s="1"/>
  <c r="M10" i="3"/>
  <c r="M13" i="3" s="1"/>
  <c r="L10" i="3"/>
  <c r="L13" i="3" s="1"/>
  <c r="K10" i="3"/>
  <c r="K13" i="3" s="1"/>
  <c r="J10" i="3"/>
  <c r="J13" i="3" s="1"/>
  <c r="I10" i="3"/>
  <c r="I13" i="3" s="1"/>
  <c r="H10" i="3"/>
  <c r="H13" i="3" s="1"/>
  <c r="G10" i="3"/>
  <c r="G13" i="3" s="1"/>
  <c r="F10" i="3"/>
  <c r="F13" i="3" s="1"/>
  <c r="E10" i="3"/>
  <c r="E13" i="3" s="1"/>
  <c r="D10" i="3"/>
  <c r="D13" i="3" s="1"/>
  <c r="B6" i="1"/>
  <c r="H38" i="3" l="1"/>
  <c r="T38" i="3"/>
  <c r="U38" i="3"/>
  <c r="V38" i="3"/>
  <c r="X38" i="3"/>
  <c r="N38" i="3"/>
  <c r="O38" i="3"/>
  <c r="P38" i="3"/>
  <c r="Q38" i="3"/>
  <c r="R38" i="3"/>
  <c r="S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Quach</author>
  </authors>
  <commentList>
    <comment ref="A8" authorId="0" shapeId="0" xr:uid="{3D58FDA6-625E-4ED5-A4C0-7DB58CD5E64E}">
      <text>
        <r>
          <rPr>
            <b/>
            <sz val="9"/>
            <color indexed="81"/>
            <rFont val="Tahoma"/>
            <family val="2"/>
          </rPr>
          <t>Alex Quach:</t>
        </r>
        <r>
          <rPr>
            <sz val="9"/>
            <color indexed="81"/>
            <rFont val="Tahoma"/>
            <family val="2"/>
          </rPr>
          <t xml:space="preserve">
Long Term Debt</t>
        </r>
      </text>
    </comment>
  </commentList>
</comments>
</file>

<file path=xl/sharedStrings.xml><?xml version="1.0" encoding="utf-8"?>
<sst xmlns="http://schemas.openxmlformats.org/spreadsheetml/2006/main" count="178" uniqueCount="129">
  <si>
    <t>Symbol:</t>
  </si>
  <si>
    <t>(In Millions)</t>
  </si>
  <si>
    <t>Price</t>
  </si>
  <si>
    <t>Shares Outstanding</t>
  </si>
  <si>
    <t>Q12025</t>
  </si>
  <si>
    <t>Market Cap</t>
  </si>
  <si>
    <t>Cash + PPE</t>
  </si>
  <si>
    <t>Debt</t>
  </si>
  <si>
    <t>Cash Per Share</t>
  </si>
  <si>
    <t>Enterprise Value</t>
  </si>
  <si>
    <t>Book Value</t>
  </si>
  <si>
    <t>Main</t>
  </si>
  <si>
    <t>Q12020</t>
  </si>
  <si>
    <t>Q22020</t>
  </si>
  <si>
    <t>Q32020</t>
  </si>
  <si>
    <t>Q42020</t>
  </si>
  <si>
    <t>Q12021</t>
  </si>
  <si>
    <t>Q22021</t>
  </si>
  <si>
    <t>Q32021</t>
  </si>
  <si>
    <t>Q42021</t>
  </si>
  <si>
    <t>Q12022</t>
  </si>
  <si>
    <t>Q22022</t>
  </si>
  <si>
    <t>Q32022</t>
  </si>
  <si>
    <t>Q42022</t>
  </si>
  <si>
    <t>Q12023</t>
  </si>
  <si>
    <t>Q22023</t>
  </si>
  <si>
    <t>Q32023</t>
  </si>
  <si>
    <t>Q42023</t>
  </si>
  <si>
    <t>Q12024</t>
  </si>
  <si>
    <t>Q22024</t>
  </si>
  <si>
    <t>Q32024</t>
  </si>
  <si>
    <t>Q42024</t>
  </si>
  <si>
    <t>Q22025</t>
  </si>
  <si>
    <t>Q32025</t>
  </si>
  <si>
    <t>Q42025</t>
  </si>
  <si>
    <t>Q12026</t>
  </si>
  <si>
    <t>Revenue</t>
  </si>
  <si>
    <t>Cost Of Revenue</t>
  </si>
  <si>
    <t>Gross Profit</t>
  </si>
  <si>
    <t>SG&amp;A</t>
  </si>
  <si>
    <t>Operating Income</t>
  </si>
  <si>
    <t>Income Before taxes</t>
  </si>
  <si>
    <t>Tax</t>
  </si>
  <si>
    <t>Net Income</t>
  </si>
  <si>
    <t>Basic EPS</t>
  </si>
  <si>
    <t>Diluted EPS</t>
  </si>
  <si>
    <t>Revenue Growth YOY Q</t>
  </si>
  <si>
    <t>N/A</t>
  </si>
  <si>
    <t>Revenue Growth last Q</t>
  </si>
  <si>
    <t>Gross Margin</t>
  </si>
  <si>
    <t>Operating Margin</t>
  </si>
  <si>
    <t>Cash Flow from Operations</t>
  </si>
  <si>
    <t>Capital Expendature</t>
  </si>
  <si>
    <t>FCF</t>
  </si>
  <si>
    <t xml:space="preserve">Dividend </t>
  </si>
  <si>
    <t>Cash Flow Growth</t>
  </si>
  <si>
    <t>Guidance</t>
  </si>
  <si>
    <t>Events</t>
  </si>
  <si>
    <t>NOMD</t>
  </si>
  <si>
    <t>Company</t>
  </si>
  <si>
    <t>Description</t>
  </si>
  <si>
    <t>Forward P/E</t>
  </si>
  <si>
    <t>Trailing P/E</t>
  </si>
  <si>
    <t>EV/EBITDA</t>
  </si>
  <si>
    <t>Net Leverage</t>
  </si>
  <si>
    <t>3.49x</t>
  </si>
  <si>
    <t>USD Term Loan SOFR + 2.50% 2032</t>
  </si>
  <si>
    <t>EUR Term Loan EURIBOR + 2.50% 2032</t>
  </si>
  <si>
    <t>Revolving Cash Facility EUR</t>
  </si>
  <si>
    <t>Senior Secured Notes June 2028 EUR</t>
  </si>
  <si>
    <t>Leases EUR</t>
  </si>
  <si>
    <t>est. Total EUR</t>
  </si>
  <si>
    <t>Europes Biggest Frozen Food Company, #1-#2 market share in most EU countries</t>
  </si>
  <si>
    <t>World's largest snack company</t>
  </si>
  <si>
    <t>Mondelez (MDLZ)</t>
  </si>
  <si>
    <t>Hersheys (HSY)</t>
  </si>
  <si>
    <t>Sysco (SYY)</t>
  </si>
  <si>
    <t>Kraft (KHC)</t>
  </si>
  <si>
    <t>Nomad Foods (NOMD)</t>
  </si>
  <si>
    <t>Wholesale Restaurant Distributor</t>
  </si>
  <si>
    <t>General Mills (GIS)</t>
  </si>
  <si>
    <t>Tyson Foods (TSN)</t>
  </si>
  <si>
    <t>Del Monte Produce (FDP)</t>
  </si>
  <si>
    <t>Dole PLC (DOLE)</t>
  </si>
  <si>
    <t>Flower Foods (FLO)</t>
  </si>
  <si>
    <t>Fresh Produce</t>
  </si>
  <si>
    <t>Packaged Bakery Goods</t>
  </si>
  <si>
    <t>Chocolate and Cocao</t>
  </si>
  <si>
    <t>Frozen Potatoes</t>
  </si>
  <si>
    <t>Meat Processor, Frozen Foods</t>
  </si>
  <si>
    <t>Consumer Foods, Frozen Foods</t>
  </si>
  <si>
    <t>P/Book</t>
  </si>
  <si>
    <t>Price/FCF</t>
  </si>
  <si>
    <t>P/Sales</t>
  </si>
  <si>
    <t>Dividend Yield</t>
  </si>
  <si>
    <t>Lamb Weston (LW)</t>
  </si>
  <si>
    <t>Net Debt (Billions)</t>
  </si>
  <si>
    <t>Net Margin</t>
  </si>
  <si>
    <t>Average</t>
  </si>
  <si>
    <t>(IN MILLIONS of EUROS)</t>
  </si>
  <si>
    <t>Exceptional Items</t>
  </si>
  <si>
    <t>Organic Revenue Growth YOY Q</t>
  </si>
  <si>
    <t>Volume Increase/Decline</t>
  </si>
  <si>
    <t>Adjusted Gross Margin</t>
  </si>
  <si>
    <t>Adjusted EBITDA</t>
  </si>
  <si>
    <t>Adjusted EBITDA Margin</t>
  </si>
  <si>
    <t>Price Mix Decline</t>
  </si>
  <si>
    <t>near low end of existing guidance ranges</t>
  </si>
  <si>
    <t>organic revenue flat to -2%</t>
  </si>
  <si>
    <t>-3% to -7% adjusted ebitda YOY</t>
  </si>
  <si>
    <t>Adjusted EPS 1.64 to 1.76</t>
  </si>
  <si>
    <t>Maintains FCF conversion guidance of 90%+</t>
  </si>
  <si>
    <t>share repurchases of 151 million euros ytd</t>
  </si>
  <si>
    <t>dividends of 70 million ytd</t>
  </si>
  <si>
    <t>Market Share Relatively Firm</t>
  </si>
  <si>
    <t>34% YOY for Growth Platform Net Sales Growth</t>
  </si>
  <si>
    <t>Dividends Cash Amount</t>
  </si>
  <si>
    <t>Share Repurchase (in millions of Euros)</t>
  </si>
  <si>
    <t>FCF Margin</t>
  </si>
  <si>
    <t>New ceo</t>
  </si>
  <si>
    <t>Free Cash Flow Yield (TTM)</t>
  </si>
  <si>
    <t>EPS TTM</t>
  </si>
  <si>
    <t>P/E TTM</t>
  </si>
  <si>
    <t>(refinancing costs in Q42025)</t>
  </si>
  <si>
    <t>107.7 million</t>
  </si>
  <si>
    <t>FY2026 Organic Revenue -2 to -5%</t>
  </si>
  <si>
    <t>Adjusted EBITDA decline 5% to 10%</t>
  </si>
  <si>
    <t>Adjusted EPS 1.71 to 1.89</t>
  </si>
  <si>
    <t>FY FCF conversion of 90% or greater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</si>
</sst>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1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14" fontId="1" fillId="0" borderId="0" xfId="0" applyNumberFormat="1" applyFont="1"/>
    <xf numFmtId="9" fontId="1" fillId="0" borderId="0" xfId="1" applyFont="1"/>
    <xf numFmtId="0" fontId="8" fillId="0" borderId="0" xfId="0" applyFont="1"/>
    <xf numFmtId="0" fontId="9" fillId="0" borderId="0" xfId="0" applyFont="1"/>
    <xf numFmtId="10" fontId="8" fillId="0" borderId="0" xfId="1" applyNumberFormat="1" applyFont="1"/>
    <xf numFmtId="10" fontId="9" fillId="0" borderId="0" xfId="1" applyNumberFormat="1" applyFont="1"/>
    <xf numFmtId="0" fontId="8" fillId="4" borderId="0" xfId="0" applyFont="1" applyFill="1"/>
    <xf numFmtId="10" fontId="8" fillId="4" borderId="0" xfId="1" applyNumberFormat="1" applyFont="1" applyFill="1"/>
    <xf numFmtId="0" fontId="8" fillId="5" borderId="0" xfId="0" applyFont="1" applyFill="1"/>
    <xf numFmtId="10" fontId="8" fillId="5" borderId="0" xfId="1" applyNumberFormat="1" applyFont="1" applyFill="1"/>
    <xf numFmtId="10" fontId="8" fillId="0" borderId="0" xfId="1" applyNumberFormat="1" applyFont="1" applyFill="1"/>
    <xf numFmtId="10" fontId="8" fillId="0" borderId="0" xfId="0" applyNumberFormat="1" applyFont="1"/>
    <xf numFmtId="164" fontId="8" fillId="0" borderId="0" xfId="0" applyNumberFormat="1" applyFont="1"/>
    <xf numFmtId="2" fontId="8" fillId="0" borderId="0" xfId="0" applyNumberFormat="1" applyFont="1"/>
    <xf numFmtId="165" fontId="5" fillId="0" borderId="0" xfId="2" applyNumberFormat="1"/>
    <xf numFmtId="165" fontId="1" fillId="0" borderId="0" xfId="0" applyNumberFormat="1" applyFont="1"/>
    <xf numFmtId="165" fontId="2" fillId="2" borderId="0" xfId="0" applyNumberFormat="1" applyFont="1" applyFill="1"/>
    <xf numFmtId="165" fontId="6" fillId="0" borderId="0" xfId="0" applyNumberFormat="1" applyFont="1"/>
    <xf numFmtId="165" fontId="1" fillId="0" borderId="0" xfId="1" applyNumberFormat="1" applyFont="1"/>
    <xf numFmtId="165" fontId="1" fillId="0" borderId="0" xfId="1" applyNumberFormat="1" applyFont="1" applyFill="1"/>
    <xf numFmtId="165" fontId="2" fillId="0" borderId="0" xfId="0" applyNumberFormat="1" applyFont="1"/>
    <xf numFmtId="165" fontId="7" fillId="0" borderId="0" xfId="0" applyNumberFormat="1" applyFont="1"/>
    <xf numFmtId="165" fontId="1" fillId="0" borderId="1" xfId="0" applyNumberFormat="1" applyFont="1" applyBorder="1"/>
    <xf numFmtId="165" fontId="1" fillId="0" borderId="2" xfId="0" applyNumberFormat="1" applyFont="1" applyBorder="1"/>
    <xf numFmtId="165" fontId="1" fillId="0" borderId="3" xfId="0" applyNumberFormat="1" applyFont="1" applyBorder="1"/>
    <xf numFmtId="165" fontId="1" fillId="0" borderId="4" xfId="0" applyNumberFormat="1" applyFont="1" applyBorder="1"/>
    <xf numFmtId="165" fontId="1" fillId="0" borderId="5" xfId="0" applyNumberFormat="1" applyFont="1" applyBorder="1"/>
    <xf numFmtId="165" fontId="1" fillId="0" borderId="6" xfId="0" applyNumberFormat="1" applyFont="1" applyBorder="1"/>
    <xf numFmtId="165" fontId="1" fillId="0" borderId="7" xfId="0" applyNumberFormat="1" applyFont="1" applyBorder="1"/>
    <xf numFmtId="165" fontId="1" fillId="0" borderId="8" xfId="0" applyNumberFormat="1" applyFont="1" applyBorder="1"/>
    <xf numFmtId="2" fontId="1" fillId="0" borderId="0" xfId="0" applyNumberFormat="1" applyFont="1"/>
    <xf numFmtId="2" fontId="6" fillId="0" borderId="0" xfId="0" applyNumberFormat="1" applyFont="1"/>
    <xf numFmtId="166" fontId="1" fillId="0" borderId="0" xfId="1" applyNumberFormat="1" applyFont="1"/>
    <xf numFmtId="10" fontId="0" fillId="0" borderId="0" xfId="1" applyNumberFormat="1" applyFont="1"/>
    <xf numFmtId="10" fontId="1" fillId="0" borderId="0" xfId="1" applyNumberFormat="1" applyFont="1"/>
    <xf numFmtId="10" fontId="1" fillId="3" borderId="0" xfId="1" applyNumberFormat="1" applyFont="1" applyFill="1"/>
    <xf numFmtId="10" fontId="0" fillId="6" borderId="0" xfId="1" applyNumberFormat="1" applyFont="1" applyFill="1"/>
    <xf numFmtId="10" fontId="1" fillId="6" borderId="0" xfId="1" applyNumberFormat="1" applyFont="1" applyFill="1"/>
    <xf numFmtId="166" fontId="1" fillId="0" borderId="0" xfId="1" applyNumberFormat="1" applyFont="1" applyFill="1"/>
    <xf numFmtId="10" fontId="1" fillId="0" borderId="0" xfId="1" applyNumberFormat="1" applyFont="1" applyBorder="1"/>
    <xf numFmtId="165" fontId="1" fillId="0" borderId="0" xfId="0" quotePrefix="1" applyNumberFormat="1" applyFont="1"/>
    <xf numFmtId="10" fontId="2" fillId="7" borderId="0" xfId="1" applyNumberFormat="1" applyFont="1" applyFill="1"/>
    <xf numFmtId="165" fontId="1" fillId="0" borderId="0" xfId="0" applyNumberFormat="1" applyFont="1"/>
    <xf numFmtId="165" fontId="1" fillId="0" borderId="5" xfId="0" applyNumberFormat="1" applyFont="1" applyBorder="1"/>
    <xf numFmtId="0" fontId="8" fillId="0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209550</xdr:colOff>
      <xdr:row>20</xdr:row>
      <xdr:rowOff>171450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D2183AAF-BB11-D0D0-2964-49A587A30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753350" cy="379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5144-7FBE-457F-8286-1989BA172F08}">
  <dimension ref="A1:E14"/>
  <sheetViews>
    <sheetView tabSelected="1" workbookViewId="0">
      <selection activeCell="B8" sqref="B8"/>
    </sheetView>
  </sheetViews>
  <sheetFormatPr defaultRowHeight="14.25" x14ac:dyDescent="0.2"/>
  <cols>
    <col min="1" max="1" width="17.375" style="1" bestFit="1" customWidth="1"/>
    <col min="2" max="2" width="17.125" style="1" bestFit="1" customWidth="1"/>
    <col min="3" max="3" width="10.125" style="1" bestFit="1" customWidth="1"/>
    <col min="4" max="4" width="14.125" style="1" bestFit="1" customWidth="1"/>
    <col min="5" max="5" width="5.875" style="1" bestFit="1" customWidth="1"/>
    <col min="6" max="16384" width="9" style="1"/>
  </cols>
  <sheetData>
    <row r="1" spans="1:5" x14ac:dyDescent="0.2">
      <c r="A1" s="1" t="s">
        <v>0</v>
      </c>
      <c r="B1" s="1" t="s">
        <v>58</v>
      </c>
    </row>
    <row r="3" spans="1:5" x14ac:dyDescent="0.2">
      <c r="A3" s="1" t="s">
        <v>1</v>
      </c>
    </row>
    <row r="4" spans="1:5" x14ac:dyDescent="0.2">
      <c r="A4" s="1" t="s">
        <v>2</v>
      </c>
      <c r="B4" s="1">
        <v>11.11</v>
      </c>
      <c r="C4" s="2">
        <v>46079</v>
      </c>
    </row>
    <row r="5" spans="1:5" x14ac:dyDescent="0.2">
      <c r="A5" s="1" t="s">
        <v>3</v>
      </c>
      <c r="B5" s="1">
        <v>145.1</v>
      </c>
      <c r="C5" s="1" t="s">
        <v>34</v>
      </c>
    </row>
    <row r="6" spans="1:5" x14ac:dyDescent="0.2">
      <c r="A6" s="1" t="s">
        <v>5</v>
      </c>
      <c r="B6" s="1">
        <f>B4*B5</f>
        <v>1612.0609999999999</v>
      </c>
    </row>
    <row r="7" spans="1:5" x14ac:dyDescent="0.2">
      <c r="A7" s="1" t="s">
        <v>6</v>
      </c>
      <c r="B7" s="1">
        <v>324.8</v>
      </c>
    </row>
    <row r="8" spans="1:5" x14ac:dyDescent="0.2">
      <c r="A8" s="1" t="s">
        <v>7</v>
      </c>
      <c r="B8">
        <v>2110</v>
      </c>
      <c r="D8" s="1" t="s">
        <v>8</v>
      </c>
      <c r="E8" s="1">
        <v>1.32</v>
      </c>
    </row>
    <row r="9" spans="1:5" x14ac:dyDescent="0.2">
      <c r="A9" s="1" t="s">
        <v>9</v>
      </c>
      <c r="B9" s="1">
        <v>4500</v>
      </c>
      <c r="D9" s="1" t="s">
        <v>10</v>
      </c>
      <c r="E9" s="1">
        <v>20.68</v>
      </c>
    </row>
    <row r="13" spans="1:5" x14ac:dyDescent="0.2">
      <c r="A13" s="1" t="s">
        <v>121</v>
      </c>
      <c r="B13" s="1">
        <v>0.91</v>
      </c>
      <c r="D13" s="1" t="s">
        <v>123</v>
      </c>
    </row>
    <row r="14" spans="1:5" x14ac:dyDescent="0.2">
      <c r="A14" s="1" t="s">
        <v>122</v>
      </c>
      <c r="B14" s="1">
        <v>12.2</v>
      </c>
      <c r="D14" s="1" t="s">
        <v>124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6F66-61C1-4855-A38B-B4ECE130629C}">
  <dimension ref="A1:AH83"/>
  <sheetViews>
    <sheetView zoomScale="120" zoomScaleNormal="120" workbookViewId="0">
      <pane xSplit="2" ySplit="23" topLeftCell="X35" activePane="bottomRight" state="frozen"/>
      <selection pane="topRight" activeCell="C1" sqref="C1"/>
      <selection pane="bottomLeft" activeCell="A24" sqref="A24"/>
      <selection pane="bottomRight" activeCell="AA37" sqref="AA37"/>
    </sheetView>
  </sheetViews>
  <sheetFormatPr defaultRowHeight="14.25" outlineLevelRow="1" x14ac:dyDescent="0.2"/>
  <cols>
    <col min="1" max="1" width="9" style="17"/>
    <col min="2" max="2" width="28.25" style="17" bestFit="1" customWidth="1"/>
    <col min="3" max="18" width="9" style="17"/>
    <col min="19" max="21" width="11.5" style="17" customWidth="1"/>
    <col min="22" max="22" width="16.5" style="17" customWidth="1"/>
    <col min="23" max="23" width="13" style="17" customWidth="1"/>
    <col min="24" max="24" width="13.125" style="17" customWidth="1"/>
    <col min="25" max="25" width="7.375" style="17" bestFit="1" customWidth="1"/>
    <col min="26" max="26" width="41.75" style="17" bestFit="1" customWidth="1"/>
    <col min="27" max="27" width="8.375" style="17" bestFit="1" customWidth="1"/>
    <col min="28" max="16384" width="9" style="17"/>
  </cols>
  <sheetData>
    <row r="1" spans="1:28" x14ac:dyDescent="0.2">
      <c r="A1" s="16" t="s">
        <v>11</v>
      </c>
      <c r="B1" s="17" t="s">
        <v>99</v>
      </c>
    </row>
    <row r="2" spans="1:28" x14ac:dyDescent="0.2">
      <c r="D2" s="17" t="s">
        <v>12</v>
      </c>
      <c r="E2" s="17" t="s">
        <v>13</v>
      </c>
      <c r="F2" s="17" t="s">
        <v>14</v>
      </c>
      <c r="G2" s="17" t="s">
        <v>15</v>
      </c>
      <c r="H2" s="17" t="s">
        <v>16</v>
      </c>
      <c r="I2" s="17" t="s">
        <v>17</v>
      </c>
      <c r="J2" s="17" t="s">
        <v>18</v>
      </c>
      <c r="K2" s="17" t="s">
        <v>19</v>
      </c>
      <c r="L2" s="17" t="s">
        <v>20</v>
      </c>
      <c r="M2" s="17" t="s">
        <v>21</v>
      </c>
      <c r="N2" s="17" t="s">
        <v>22</v>
      </c>
      <c r="O2" s="17" t="s">
        <v>23</v>
      </c>
      <c r="P2" s="17" t="s">
        <v>24</v>
      </c>
      <c r="Q2" s="17" t="s">
        <v>25</v>
      </c>
      <c r="R2" s="17" t="s">
        <v>26</v>
      </c>
      <c r="S2" s="17" t="s">
        <v>27</v>
      </c>
      <c r="T2" s="17" t="s">
        <v>28</v>
      </c>
      <c r="U2" s="17" t="s">
        <v>29</v>
      </c>
      <c r="V2" s="17" t="s">
        <v>30</v>
      </c>
      <c r="W2" s="17" t="s">
        <v>31</v>
      </c>
      <c r="X2" s="17" t="s">
        <v>4</v>
      </c>
      <c r="Y2" s="17" t="s">
        <v>32</v>
      </c>
      <c r="Z2" s="17" t="s">
        <v>33</v>
      </c>
      <c r="AA2" s="17" t="s">
        <v>34</v>
      </c>
      <c r="AB2" s="17" t="s">
        <v>35</v>
      </c>
    </row>
    <row r="8" spans="1:28" s="18" customFormat="1" ht="15" x14ac:dyDescent="0.25">
      <c r="B8" s="18" t="s">
        <v>36</v>
      </c>
      <c r="D8" s="18">
        <v>682.9</v>
      </c>
      <c r="E8" s="18">
        <v>599</v>
      </c>
      <c r="F8" s="18">
        <v>576.29999999999995</v>
      </c>
      <c r="G8" s="18">
        <v>657.7</v>
      </c>
      <c r="H8" s="18">
        <v>707.4</v>
      </c>
      <c r="I8" s="18">
        <v>595.79999999999995</v>
      </c>
      <c r="J8" s="18">
        <v>599.4</v>
      </c>
      <c r="K8" s="18">
        <v>704</v>
      </c>
      <c r="L8" s="18">
        <v>732.9</v>
      </c>
      <c r="M8" s="18">
        <v>697</v>
      </c>
      <c r="N8" s="18">
        <v>759.6</v>
      </c>
      <c r="O8" s="18">
        <v>750.2</v>
      </c>
      <c r="P8" s="18">
        <v>775.1</v>
      </c>
      <c r="Q8" s="18">
        <v>745.1</v>
      </c>
      <c r="R8" s="18">
        <v>763.5</v>
      </c>
      <c r="S8" s="18">
        <v>760.8</v>
      </c>
      <c r="T8" s="18">
        <v>783.7</v>
      </c>
      <c r="U8" s="18">
        <v>753.1</v>
      </c>
      <c r="V8" s="18">
        <v>769.6</v>
      </c>
      <c r="W8" s="18">
        <v>793.4</v>
      </c>
      <c r="X8" s="18">
        <v>760.1</v>
      </c>
      <c r="Y8" s="18">
        <v>746.9</v>
      </c>
      <c r="Z8" s="18">
        <v>752.4</v>
      </c>
      <c r="AA8" s="18">
        <v>773.1</v>
      </c>
    </row>
    <row r="9" spans="1:28" x14ac:dyDescent="0.2">
      <c r="B9" s="17" t="s">
        <v>37</v>
      </c>
      <c r="D9" s="17">
        <v>484</v>
      </c>
      <c r="E9" s="17">
        <v>417.7</v>
      </c>
      <c r="F9" s="17">
        <v>401.1</v>
      </c>
      <c r="G9" s="17">
        <v>450.6</v>
      </c>
      <c r="H9" s="17">
        <v>494.6</v>
      </c>
      <c r="I9" s="17">
        <v>412.2</v>
      </c>
      <c r="J9" s="17">
        <v>431.8</v>
      </c>
      <c r="K9" s="17">
        <v>523.70000000000005</v>
      </c>
      <c r="L9" s="17">
        <v>528.20000000000005</v>
      </c>
      <c r="M9" s="17">
        <v>500.2</v>
      </c>
      <c r="N9" s="19">
        <v>538.5</v>
      </c>
      <c r="O9" s="19">
        <v>557.5</v>
      </c>
      <c r="P9" s="19">
        <v>550.9</v>
      </c>
      <c r="Q9" s="19">
        <v>535</v>
      </c>
      <c r="R9" s="19">
        <v>546.79999999999995</v>
      </c>
      <c r="S9" s="17">
        <v>553.1</v>
      </c>
      <c r="T9" s="19">
        <v>572.79999999999995</v>
      </c>
      <c r="U9" s="19">
        <v>520.29999999999995</v>
      </c>
      <c r="V9" s="17">
        <v>521.4</v>
      </c>
      <c r="W9" s="17">
        <v>567.5</v>
      </c>
      <c r="X9" s="17">
        <v>548.5</v>
      </c>
      <c r="Y9" s="17">
        <v>540.6</v>
      </c>
      <c r="Z9" s="17">
        <v>545</v>
      </c>
      <c r="AA9" s="17">
        <v>575.4</v>
      </c>
    </row>
    <row r="10" spans="1:28" s="18" customFormat="1" ht="15" x14ac:dyDescent="0.25">
      <c r="B10" s="18" t="s">
        <v>38</v>
      </c>
      <c r="D10" s="18">
        <f t="shared" ref="D10:AA10" si="0">D8 -D9</f>
        <v>198.89999999999998</v>
      </c>
      <c r="E10" s="18">
        <f t="shared" si="0"/>
        <v>181.3</v>
      </c>
      <c r="F10" s="18">
        <f t="shared" si="0"/>
        <v>175.19999999999993</v>
      </c>
      <c r="G10" s="18">
        <f t="shared" si="0"/>
        <v>207.10000000000002</v>
      </c>
      <c r="H10" s="18">
        <f t="shared" si="0"/>
        <v>212.79999999999995</v>
      </c>
      <c r="I10" s="18">
        <f t="shared" si="0"/>
        <v>183.59999999999997</v>
      </c>
      <c r="J10" s="18">
        <f t="shared" si="0"/>
        <v>167.59999999999997</v>
      </c>
      <c r="K10" s="18">
        <f t="shared" si="0"/>
        <v>180.29999999999995</v>
      </c>
      <c r="L10" s="18">
        <f t="shared" si="0"/>
        <v>204.69999999999993</v>
      </c>
      <c r="M10" s="18">
        <f>M8 -M9</f>
        <v>196.8</v>
      </c>
      <c r="N10" s="18">
        <f t="shared" si="0"/>
        <v>221.10000000000002</v>
      </c>
      <c r="O10" s="18">
        <f t="shared" si="0"/>
        <v>192.70000000000005</v>
      </c>
      <c r="P10" s="18">
        <f t="shared" si="0"/>
        <v>224.20000000000005</v>
      </c>
      <c r="Q10" s="18">
        <f t="shared" si="0"/>
        <v>210.10000000000002</v>
      </c>
      <c r="R10" s="18">
        <f t="shared" si="0"/>
        <v>216.70000000000005</v>
      </c>
      <c r="S10" s="18">
        <f t="shared" si="0"/>
        <v>207.69999999999993</v>
      </c>
      <c r="T10" s="18">
        <f t="shared" si="0"/>
        <v>210.90000000000009</v>
      </c>
      <c r="U10" s="18">
        <f t="shared" si="0"/>
        <v>232.80000000000007</v>
      </c>
      <c r="V10" s="18">
        <f t="shared" si="0"/>
        <v>248.20000000000005</v>
      </c>
      <c r="W10" s="18">
        <f t="shared" si="0"/>
        <v>225.89999999999998</v>
      </c>
      <c r="X10" s="18">
        <f t="shared" si="0"/>
        <v>211.60000000000002</v>
      </c>
      <c r="Y10" s="18">
        <f t="shared" si="0"/>
        <v>206.29999999999995</v>
      </c>
      <c r="Z10" s="18">
        <f t="shared" si="0"/>
        <v>207.39999999999998</v>
      </c>
      <c r="AA10" s="18">
        <f t="shared" si="0"/>
        <v>197.70000000000005</v>
      </c>
    </row>
    <row r="11" spans="1:28" x14ac:dyDescent="0.2">
      <c r="B11" s="17" t="s">
        <v>39</v>
      </c>
      <c r="D11" s="17">
        <v>101.5</v>
      </c>
      <c r="E11" s="17">
        <v>81.599999999999994</v>
      </c>
      <c r="F11" s="17">
        <v>85.7</v>
      </c>
      <c r="G11" s="17">
        <v>113.9</v>
      </c>
      <c r="H11" s="17">
        <v>98</v>
      </c>
      <c r="I11" s="17">
        <v>79.099999999999994</v>
      </c>
      <c r="J11" s="17">
        <v>80.5</v>
      </c>
      <c r="K11" s="17">
        <v>98.7</v>
      </c>
      <c r="L11" s="17">
        <v>98.1</v>
      </c>
      <c r="M11" s="17">
        <v>96.1</v>
      </c>
      <c r="N11" s="17">
        <v>93.4</v>
      </c>
      <c r="O11" s="17">
        <v>103.6</v>
      </c>
      <c r="P11" s="17">
        <v>114.5</v>
      </c>
      <c r="Q11" s="17">
        <v>103.9</v>
      </c>
      <c r="R11" s="17">
        <v>104.8</v>
      </c>
      <c r="S11" s="17">
        <v>122.6</v>
      </c>
      <c r="T11" s="17">
        <v>115.4</v>
      </c>
      <c r="U11" s="17">
        <v>119.3</v>
      </c>
      <c r="V11" s="17">
        <v>111.5</v>
      </c>
      <c r="W11" s="17">
        <v>115.1</v>
      </c>
      <c r="X11" s="17">
        <v>120.7</v>
      </c>
      <c r="Y11" s="17">
        <v>103.9</v>
      </c>
      <c r="Z11" s="17">
        <v>96.9</v>
      </c>
      <c r="AA11" s="17">
        <v>97.7</v>
      </c>
    </row>
    <row r="12" spans="1:28" x14ac:dyDescent="0.2">
      <c r="B12" s="17" t="s">
        <v>100</v>
      </c>
      <c r="D12" s="17">
        <v>20.6</v>
      </c>
      <c r="E12" s="17">
        <v>4.2</v>
      </c>
      <c r="F12" s="17">
        <v>2.5</v>
      </c>
      <c r="G12" s="17">
        <v>-6.7</v>
      </c>
      <c r="H12" s="17">
        <v>10.8</v>
      </c>
      <c r="I12" s="17">
        <v>4.3</v>
      </c>
      <c r="J12" s="17">
        <v>6.5</v>
      </c>
      <c r="K12" s="17">
        <v>23.7</v>
      </c>
      <c r="L12" s="17">
        <v>19</v>
      </c>
      <c r="M12" s="17">
        <v>-12.7</v>
      </c>
      <c r="N12" s="17">
        <v>18.899999999999999</v>
      </c>
      <c r="O12" s="17">
        <v>23.5</v>
      </c>
      <c r="P12" s="17">
        <v>30.1</v>
      </c>
      <c r="Q12" s="17">
        <v>10.5</v>
      </c>
      <c r="R12" s="17">
        <v>13.5</v>
      </c>
      <c r="S12" s="17">
        <v>18.399999999999999</v>
      </c>
      <c r="T12" s="17">
        <v>23.5</v>
      </c>
      <c r="U12" s="17">
        <v>12.4</v>
      </c>
      <c r="V12" s="17">
        <v>14.3</v>
      </c>
      <c r="W12" s="17">
        <v>19.3</v>
      </c>
      <c r="X12" s="17">
        <v>17.100000000000001</v>
      </c>
      <c r="Y12" s="17">
        <v>14.9</v>
      </c>
      <c r="Z12" s="17">
        <v>16.899999999999999</v>
      </c>
      <c r="AA12" s="17">
        <v>29.5</v>
      </c>
    </row>
    <row r="13" spans="1:28" s="18" customFormat="1" ht="15" x14ac:dyDescent="0.25">
      <c r="B13" s="18" t="s">
        <v>40</v>
      </c>
      <c r="D13" s="18">
        <f t="shared" ref="D13:AA13" si="1">D10-SUM(D11:D12)</f>
        <v>76.799999999999983</v>
      </c>
      <c r="E13" s="18">
        <f t="shared" si="1"/>
        <v>95.500000000000014</v>
      </c>
      <c r="F13" s="18">
        <f t="shared" si="1"/>
        <v>86.999999999999929</v>
      </c>
      <c r="G13" s="18">
        <f t="shared" si="1"/>
        <v>99.90000000000002</v>
      </c>
      <c r="H13" s="18">
        <f t="shared" si="1"/>
        <v>103.99999999999996</v>
      </c>
      <c r="I13" s="18">
        <f t="shared" si="1"/>
        <v>100.19999999999997</v>
      </c>
      <c r="J13" s="18">
        <f t="shared" si="1"/>
        <v>80.599999999999966</v>
      </c>
      <c r="K13" s="18">
        <f t="shared" si="1"/>
        <v>57.899999999999949</v>
      </c>
      <c r="L13" s="18">
        <f t="shared" si="1"/>
        <v>87.599999999999937</v>
      </c>
      <c r="M13" s="18">
        <f t="shared" si="1"/>
        <v>113.40000000000002</v>
      </c>
      <c r="N13" s="18">
        <f t="shared" si="1"/>
        <v>108.80000000000001</v>
      </c>
      <c r="O13" s="18">
        <f t="shared" si="1"/>
        <v>65.600000000000051</v>
      </c>
      <c r="P13" s="18">
        <f t="shared" si="1"/>
        <v>79.600000000000051</v>
      </c>
      <c r="Q13" s="18">
        <f t="shared" si="1"/>
        <v>95.700000000000017</v>
      </c>
      <c r="R13" s="18">
        <f t="shared" si="1"/>
        <v>98.400000000000048</v>
      </c>
      <c r="S13" s="18">
        <f t="shared" si="1"/>
        <v>66.699999999999932</v>
      </c>
      <c r="T13" s="18">
        <f t="shared" si="1"/>
        <v>72.000000000000085</v>
      </c>
      <c r="U13" s="18">
        <f t="shared" si="1"/>
        <v>101.10000000000008</v>
      </c>
      <c r="V13" s="18">
        <f t="shared" si="1"/>
        <v>122.40000000000005</v>
      </c>
      <c r="W13" s="18">
        <f t="shared" si="1"/>
        <v>91.499999999999972</v>
      </c>
      <c r="X13" s="18">
        <f t="shared" si="1"/>
        <v>73.800000000000011</v>
      </c>
      <c r="Y13" s="18">
        <f t="shared" si="1"/>
        <v>87.499999999999943</v>
      </c>
      <c r="Z13" s="18">
        <f t="shared" si="1"/>
        <v>93.599999999999966</v>
      </c>
      <c r="AA13" s="18">
        <f t="shared" si="1"/>
        <v>70.500000000000043</v>
      </c>
    </row>
    <row r="14" spans="1:28" x14ac:dyDescent="0.2">
      <c r="B14" s="17" t="s">
        <v>41</v>
      </c>
      <c r="D14" s="17">
        <v>64.8</v>
      </c>
      <c r="E14" s="17">
        <v>79</v>
      </c>
      <c r="F14" s="17">
        <v>71.3</v>
      </c>
      <c r="G14" s="17">
        <v>80.400000000000006</v>
      </c>
      <c r="H14" s="17">
        <v>63.7</v>
      </c>
      <c r="I14" s="17">
        <v>65.099999999999994</v>
      </c>
      <c r="J14" s="17">
        <v>65.599999999999994</v>
      </c>
      <c r="K14" s="17">
        <v>42.3</v>
      </c>
      <c r="L14" s="17">
        <v>73</v>
      </c>
      <c r="M14" s="17">
        <v>97.3</v>
      </c>
      <c r="N14" s="19">
        <v>104.4</v>
      </c>
      <c r="O14" s="19">
        <v>46.3</v>
      </c>
      <c r="P14" s="19">
        <v>50.6</v>
      </c>
      <c r="Q14" s="19">
        <v>60.4</v>
      </c>
      <c r="R14" s="19">
        <v>96.4</v>
      </c>
      <c r="S14" s="17">
        <v>46.2</v>
      </c>
      <c r="T14" s="19">
        <v>41.9</v>
      </c>
      <c r="U14" s="19">
        <v>87.7</v>
      </c>
      <c r="V14" s="19">
        <v>87</v>
      </c>
      <c r="W14" s="17">
        <v>61.3</v>
      </c>
      <c r="X14" s="17">
        <v>39.700000000000003</v>
      </c>
      <c r="Y14" s="17">
        <v>70.599999999999994</v>
      </c>
      <c r="Z14" s="17">
        <v>70.400000000000006</v>
      </c>
      <c r="AA14" s="17">
        <v>-35.4</v>
      </c>
    </row>
    <row r="15" spans="1:28" x14ac:dyDescent="0.2">
      <c r="B15" s="17" t="s">
        <v>42</v>
      </c>
      <c r="D15" s="17">
        <v>17.399999999999999</v>
      </c>
      <c r="E15" s="17">
        <v>16.399999999999999</v>
      </c>
      <c r="F15" s="17">
        <v>14.9</v>
      </c>
      <c r="G15" s="17">
        <v>21.7</v>
      </c>
      <c r="H15" s="17">
        <v>14.4</v>
      </c>
      <c r="I15" s="17">
        <v>13.9</v>
      </c>
      <c r="J15" s="17">
        <v>13.9</v>
      </c>
      <c r="K15" s="17">
        <v>13.5</v>
      </c>
      <c r="L15" s="17">
        <v>17</v>
      </c>
      <c r="M15" s="17">
        <v>22.7</v>
      </c>
      <c r="N15" s="19">
        <v>22.3</v>
      </c>
      <c r="O15" s="19">
        <v>9.1999999999999993</v>
      </c>
      <c r="P15" s="19">
        <v>9.4</v>
      </c>
      <c r="Q15" s="19">
        <v>11.2</v>
      </c>
      <c r="R15" s="19">
        <v>18.8</v>
      </c>
      <c r="S15" s="17">
        <v>21.5</v>
      </c>
      <c r="T15" s="19">
        <v>7.4</v>
      </c>
      <c r="U15" s="17">
        <v>16.8</v>
      </c>
      <c r="V15" s="19">
        <v>16.7</v>
      </c>
      <c r="W15" s="17">
        <v>9.9</v>
      </c>
      <c r="X15" s="17">
        <v>7</v>
      </c>
      <c r="Y15" s="17">
        <v>13.5</v>
      </c>
      <c r="Z15" s="17">
        <v>12.8</v>
      </c>
      <c r="AA15" s="17">
        <v>-24.7</v>
      </c>
    </row>
    <row r="16" spans="1:28" s="18" customFormat="1" ht="15" x14ac:dyDescent="0.25">
      <c r="B16" s="18" t="s">
        <v>43</v>
      </c>
      <c r="D16" s="18">
        <f t="shared" ref="D16:W16" si="2">D14-D15</f>
        <v>47.4</v>
      </c>
      <c r="E16" s="18">
        <f t="shared" si="2"/>
        <v>62.6</v>
      </c>
      <c r="F16" s="18">
        <f t="shared" si="2"/>
        <v>56.4</v>
      </c>
      <c r="G16" s="18">
        <f t="shared" si="2"/>
        <v>58.7</v>
      </c>
      <c r="H16" s="18">
        <f t="shared" si="2"/>
        <v>49.300000000000004</v>
      </c>
      <c r="I16" s="18">
        <f t="shared" si="2"/>
        <v>51.199999999999996</v>
      </c>
      <c r="J16" s="18">
        <f t="shared" si="2"/>
        <v>51.699999999999996</v>
      </c>
      <c r="K16" s="18">
        <f t="shared" si="2"/>
        <v>28.799999999999997</v>
      </c>
      <c r="L16" s="18">
        <f t="shared" si="2"/>
        <v>56</v>
      </c>
      <c r="M16" s="18">
        <f t="shared" si="2"/>
        <v>74.599999999999994</v>
      </c>
      <c r="N16" s="18">
        <f t="shared" si="2"/>
        <v>82.100000000000009</v>
      </c>
      <c r="O16" s="18">
        <f t="shared" si="2"/>
        <v>37.099999999999994</v>
      </c>
      <c r="P16" s="18">
        <f t="shared" si="2"/>
        <v>41.2</v>
      </c>
      <c r="Q16" s="18">
        <f t="shared" si="2"/>
        <v>49.2</v>
      </c>
      <c r="R16" s="18">
        <f t="shared" si="2"/>
        <v>77.600000000000009</v>
      </c>
      <c r="S16" s="18">
        <f t="shared" si="2"/>
        <v>24.700000000000003</v>
      </c>
      <c r="T16" s="18">
        <f t="shared" si="2"/>
        <v>34.5</v>
      </c>
      <c r="U16" s="18">
        <f t="shared" si="2"/>
        <v>70.900000000000006</v>
      </c>
      <c r="V16" s="18">
        <f t="shared" si="2"/>
        <v>70.3</v>
      </c>
      <c r="W16" s="18">
        <f t="shared" si="2"/>
        <v>51.4</v>
      </c>
      <c r="X16" s="18">
        <f>X14-X15</f>
        <v>32.700000000000003</v>
      </c>
      <c r="Y16" s="18">
        <f>Y14-Y15</f>
        <v>57.099999999999994</v>
      </c>
      <c r="Z16" s="18">
        <f>Z14-Z15</f>
        <v>57.600000000000009</v>
      </c>
      <c r="AA16" s="18">
        <f>AA14-AA15</f>
        <v>-10.7</v>
      </c>
    </row>
    <row r="17" spans="2:27" s="32" customFormat="1" x14ac:dyDescent="0.2">
      <c r="B17" s="32" t="s">
        <v>44</v>
      </c>
      <c r="D17" s="32">
        <v>0.23</v>
      </c>
      <c r="E17" s="32">
        <v>0.32</v>
      </c>
      <c r="F17" s="32">
        <v>0.28999999999999998</v>
      </c>
      <c r="G17" s="32">
        <v>0.33</v>
      </c>
      <c r="H17" s="32">
        <v>0.28000000000000003</v>
      </c>
      <c r="I17" s="32">
        <v>0.28999999999999998</v>
      </c>
      <c r="J17" s="32">
        <v>0.28999999999999998</v>
      </c>
      <c r="K17" s="32">
        <v>0.16</v>
      </c>
      <c r="L17" s="32">
        <v>0.32</v>
      </c>
      <c r="M17" s="32">
        <v>0.43</v>
      </c>
      <c r="N17" s="32">
        <v>0.47</v>
      </c>
      <c r="O17" s="32">
        <v>0.21</v>
      </c>
      <c r="P17" s="32">
        <v>0.24</v>
      </c>
      <c r="Q17" s="32">
        <v>0.28000000000000003</v>
      </c>
      <c r="R17" s="32">
        <v>0.46</v>
      </c>
      <c r="S17" s="32">
        <v>0.15</v>
      </c>
      <c r="T17" s="32">
        <v>0.21</v>
      </c>
      <c r="U17" s="32">
        <v>0.43</v>
      </c>
      <c r="V17" s="32">
        <v>0.44</v>
      </c>
      <c r="W17" s="32">
        <v>0.32</v>
      </c>
      <c r="X17" s="32">
        <v>0.21</v>
      </c>
      <c r="Y17" s="32">
        <v>0.37</v>
      </c>
      <c r="Z17" s="32">
        <v>0.39</v>
      </c>
      <c r="AA17" s="32">
        <v>-7.0000000000000007E-2</v>
      </c>
    </row>
    <row r="18" spans="2:27" s="32" customFormat="1" x14ac:dyDescent="0.2">
      <c r="B18" s="32" t="s">
        <v>45</v>
      </c>
      <c r="D18" s="32">
        <v>0.23</v>
      </c>
      <c r="E18" s="32">
        <v>0.32</v>
      </c>
      <c r="F18" s="32">
        <v>0.28999999999999998</v>
      </c>
      <c r="G18" s="32">
        <v>0.32</v>
      </c>
      <c r="H18" s="32">
        <v>0.28000000000000003</v>
      </c>
      <c r="I18" s="32">
        <v>0.28999999999999998</v>
      </c>
      <c r="J18" s="32">
        <v>0.28999999999999998</v>
      </c>
      <c r="K18" s="32">
        <v>0.16</v>
      </c>
      <c r="L18" s="32">
        <v>0.32</v>
      </c>
      <c r="M18" s="32">
        <v>0.43</v>
      </c>
      <c r="N18" s="32">
        <v>0.47</v>
      </c>
      <c r="O18" s="32">
        <v>0.21</v>
      </c>
      <c r="P18" s="32">
        <v>0.24</v>
      </c>
      <c r="Q18" s="33">
        <v>0.28000000000000003</v>
      </c>
      <c r="R18" s="33">
        <v>0.46</v>
      </c>
      <c r="S18" s="32">
        <v>0.15</v>
      </c>
      <c r="T18" s="33">
        <v>0.21</v>
      </c>
      <c r="U18" s="33">
        <v>0.43</v>
      </c>
      <c r="V18" s="33">
        <v>0.44</v>
      </c>
      <c r="W18" s="32">
        <v>0.32</v>
      </c>
      <c r="X18" s="32">
        <v>0.21</v>
      </c>
      <c r="Y18" s="32">
        <v>0.37</v>
      </c>
      <c r="Z18" s="32">
        <v>0.39</v>
      </c>
      <c r="AA18" s="32">
        <v>-7.0000000000000007E-2</v>
      </c>
    </row>
    <row r="20" spans="2:27" s="37" customFormat="1" x14ac:dyDescent="0.2">
      <c r="B20" s="37" t="s">
        <v>46</v>
      </c>
      <c r="D20" s="37" t="s">
        <v>47</v>
      </c>
      <c r="E20" s="37" t="s">
        <v>47</v>
      </c>
      <c r="F20" s="37" t="s">
        <v>47</v>
      </c>
      <c r="G20" s="37" t="s">
        <v>47</v>
      </c>
      <c r="H20" s="37">
        <f t="shared" ref="H20:AA20" si="3">(H8/D8) - 1</f>
        <v>3.5876409430370515E-2</v>
      </c>
      <c r="I20" s="37">
        <f t="shared" si="3"/>
        <v>-5.3422370617697279E-3</v>
      </c>
      <c r="J20" s="37">
        <f t="shared" si="3"/>
        <v>4.0083289953149359E-2</v>
      </c>
      <c r="K20" s="37">
        <f t="shared" si="3"/>
        <v>7.039683746388925E-2</v>
      </c>
      <c r="L20" s="37">
        <f t="shared" si="3"/>
        <v>3.6047497879558854E-2</v>
      </c>
      <c r="M20" s="37">
        <f t="shared" si="3"/>
        <v>0.16985565626049026</v>
      </c>
      <c r="N20" s="37">
        <f t="shared" si="3"/>
        <v>0.26726726726726735</v>
      </c>
      <c r="O20" s="37">
        <f t="shared" si="3"/>
        <v>6.5625000000000044E-2</v>
      </c>
      <c r="P20" s="37">
        <f t="shared" si="3"/>
        <v>5.7579478782917137E-2</v>
      </c>
      <c r="Q20" s="37">
        <f t="shared" si="3"/>
        <v>6.9010043041606961E-2</v>
      </c>
      <c r="R20" s="37">
        <f t="shared" si="3"/>
        <v>5.1342812006318628E-3</v>
      </c>
      <c r="S20" s="37">
        <f t="shared" si="3"/>
        <v>1.412956544921351E-2</v>
      </c>
      <c r="T20" s="37">
        <f t="shared" si="3"/>
        <v>1.1095342536446839E-2</v>
      </c>
      <c r="U20" s="37">
        <f t="shared" si="3"/>
        <v>1.0736813850489968E-2</v>
      </c>
      <c r="V20" s="37">
        <f t="shared" si="3"/>
        <v>7.9895219384413796E-3</v>
      </c>
      <c r="W20" s="37">
        <f t="shared" si="3"/>
        <v>4.2849631966351165E-2</v>
      </c>
      <c r="X20" s="37">
        <f t="shared" si="3"/>
        <v>-3.0113563863723436E-2</v>
      </c>
      <c r="Y20" s="37">
        <f t="shared" si="3"/>
        <v>-8.2326384278317288E-3</v>
      </c>
      <c r="Z20" s="37">
        <f t="shared" si="3"/>
        <v>-2.234927234927242E-2</v>
      </c>
      <c r="AA20" s="37">
        <f t="shared" si="3"/>
        <v>-2.5586085202924047E-2</v>
      </c>
    </row>
    <row r="21" spans="2:27" s="3" customFormat="1" x14ac:dyDescent="0.2">
      <c r="B21" s="3" t="s">
        <v>48</v>
      </c>
      <c r="D21" s="3" t="s">
        <v>47</v>
      </c>
      <c r="E21" s="3">
        <f t="shared" ref="E21:AA21" si="4" xml:space="preserve"> (E8/D8) - 1</f>
        <v>-0.12285839800849319</v>
      </c>
      <c r="F21" s="3">
        <f t="shared" si="4"/>
        <v>-3.7896494156928306E-2</v>
      </c>
      <c r="G21" s="3">
        <f t="shared" si="4"/>
        <v>0.1412458788825266</v>
      </c>
      <c r="H21" s="3">
        <f t="shared" si="4"/>
        <v>7.5566367644822829E-2</v>
      </c>
      <c r="I21" s="3">
        <f t="shared" si="4"/>
        <v>-0.15776081424936395</v>
      </c>
      <c r="J21" s="3">
        <f t="shared" si="4"/>
        <v>6.0422960725075026E-3</v>
      </c>
      <c r="K21" s="3">
        <f t="shared" si="4"/>
        <v>0.17450784117450779</v>
      </c>
      <c r="L21" s="3">
        <f t="shared" si="4"/>
        <v>4.1051136363636331E-2</v>
      </c>
      <c r="M21" s="3">
        <f t="shared" si="4"/>
        <v>-4.8983490244235206E-2</v>
      </c>
      <c r="N21" s="3">
        <f t="shared" si="4"/>
        <v>8.9813486370157847E-2</v>
      </c>
      <c r="O21" s="3">
        <f t="shared" si="4"/>
        <v>-1.237493417588198E-2</v>
      </c>
      <c r="P21" s="3">
        <f t="shared" si="4"/>
        <v>3.3191149026926103E-2</v>
      </c>
      <c r="Q21" s="3">
        <f t="shared" si="4"/>
        <v>-3.870468326667531E-2</v>
      </c>
      <c r="R21" s="3">
        <f t="shared" si="4"/>
        <v>2.4694671856126726E-2</v>
      </c>
      <c r="S21" s="3">
        <f t="shared" si="4"/>
        <v>-3.5363457760314576E-3</v>
      </c>
      <c r="T21" s="3">
        <f t="shared" si="4"/>
        <v>3.0099894847529063E-2</v>
      </c>
      <c r="U21" s="3">
        <f t="shared" si="4"/>
        <v>-3.9045553145336198E-2</v>
      </c>
      <c r="V21" s="3">
        <f t="shared" si="4"/>
        <v>2.1909440977293748E-2</v>
      </c>
      <c r="W21" s="3">
        <f t="shared" si="4"/>
        <v>3.0925155925155767E-2</v>
      </c>
      <c r="X21" s="3">
        <f t="shared" si="4"/>
        <v>-4.1971262919082375E-2</v>
      </c>
      <c r="Y21" s="3">
        <f t="shared" si="4"/>
        <v>-1.736613603473236E-2</v>
      </c>
      <c r="Z21" s="3">
        <f t="shared" si="4"/>
        <v>7.3637702503681624E-3</v>
      </c>
      <c r="AA21" s="3">
        <f t="shared" si="4"/>
        <v>2.7511961722488154E-2</v>
      </c>
    </row>
    <row r="22" spans="2:27" s="39" customFormat="1" x14ac:dyDescent="0.2">
      <c r="B22" s="38" t="s">
        <v>101</v>
      </c>
      <c r="D22" s="39">
        <v>7.6999999999999999E-2</v>
      </c>
      <c r="E22" s="39">
        <v>0.123</v>
      </c>
      <c r="F22" s="39">
        <v>5.3999999999999999E-2</v>
      </c>
      <c r="G22" s="39">
        <v>9.5000000000000001E-2</v>
      </c>
      <c r="H22" s="39">
        <v>1.7999999999999999E-2</v>
      </c>
      <c r="I22" s="39">
        <v>-4.4999999999999998E-2</v>
      </c>
      <c r="J22" s="39">
        <v>-1.4E-2</v>
      </c>
      <c r="K22" s="39">
        <v>-4.4999999999999998E-2</v>
      </c>
      <c r="L22" s="39">
        <v>-4.4999999999999998E-2</v>
      </c>
      <c r="M22" s="39">
        <v>-3.2000000000000001E-2</v>
      </c>
      <c r="N22" s="39">
        <v>7.1999999999999995E-2</v>
      </c>
      <c r="O22" s="39">
        <v>7.6999999999999999E-2</v>
      </c>
      <c r="P22" s="39">
        <v>0.08</v>
      </c>
      <c r="Q22" s="39">
        <v>8.5999999999999993E-2</v>
      </c>
      <c r="R22" s="39">
        <v>1.6E-2</v>
      </c>
      <c r="S22" s="39">
        <v>1.9E-2</v>
      </c>
      <c r="T22" s="39">
        <v>3.0000000000000001E-3</v>
      </c>
      <c r="U22" s="39">
        <v>5.0000000000000001E-3</v>
      </c>
      <c r="V22" s="39">
        <v>3.0000000000000001E-3</v>
      </c>
      <c r="W22" s="39">
        <v>3.1E-2</v>
      </c>
      <c r="X22" s="39">
        <v>-3.5999999999999997E-2</v>
      </c>
      <c r="Y22" s="39">
        <v>-1.0999999999999999E-2</v>
      </c>
      <c r="Z22" s="39">
        <v>-1.6E-2</v>
      </c>
      <c r="AA22" s="39">
        <v>-1.2999999999999999E-2</v>
      </c>
    </row>
    <row r="23" spans="2:27" s="36" customFormat="1" x14ac:dyDescent="0.2">
      <c r="B23" s="35" t="s">
        <v>102</v>
      </c>
      <c r="D23" s="36">
        <v>6.3E-2</v>
      </c>
      <c r="E23" s="36">
        <v>9.9000000000000005E-2</v>
      </c>
      <c r="F23" s="36">
        <v>4.2000000000000003E-2</v>
      </c>
      <c r="G23" s="36">
        <v>8.5999999999999993E-2</v>
      </c>
      <c r="H23" s="36">
        <v>1.9E-2</v>
      </c>
      <c r="I23" s="36">
        <v>-4.3999999999999997E-2</v>
      </c>
      <c r="J23" s="36">
        <v>-0.01</v>
      </c>
      <c r="K23" s="36">
        <v>-3.1E-2</v>
      </c>
      <c r="L23" s="36">
        <v>-6.0999999999999999E-2</v>
      </c>
      <c r="M23" s="41">
        <v>-5.7000000000000002E-2</v>
      </c>
      <c r="N23" s="36">
        <v>-3.4000000000000002E-2</v>
      </c>
      <c r="O23" s="36">
        <v>-8.1000000000000003E-2</v>
      </c>
      <c r="P23" s="36">
        <v>-7.0999999999999994E-2</v>
      </c>
      <c r="Q23" s="36">
        <v>-9.4E-2</v>
      </c>
      <c r="R23" s="36">
        <v>-0.112</v>
      </c>
      <c r="S23" s="36">
        <v>7.4999999999999997E-2</v>
      </c>
      <c r="T23" s="36">
        <v>-2.1999999999999999E-2</v>
      </c>
      <c r="U23" s="36">
        <v>1.6E-2</v>
      </c>
      <c r="V23" s="36">
        <v>7.0000000000000001E-3</v>
      </c>
      <c r="W23" s="36">
        <v>4.7E-2</v>
      </c>
      <c r="X23" s="36">
        <v>-3.6999999999999998E-2</v>
      </c>
      <c r="Y23" s="36">
        <v>-0.01</v>
      </c>
      <c r="Z23" s="36">
        <v>-5.0000000000000001E-3</v>
      </c>
      <c r="AA23" s="36">
        <v>-1.0999999999999999E-2</v>
      </c>
    </row>
    <row r="24" spans="2:27" s="36" customFormat="1" x14ac:dyDescent="0.2">
      <c r="B24" s="35" t="s">
        <v>106</v>
      </c>
      <c r="D24" s="36">
        <v>1.4E-2</v>
      </c>
      <c r="E24" s="36">
        <v>2.4E-2</v>
      </c>
      <c r="F24" s="36">
        <v>1.2E-2</v>
      </c>
      <c r="G24" s="36">
        <v>8.9999999999999993E-3</v>
      </c>
      <c r="H24" s="36">
        <v>-1E-3</v>
      </c>
      <c r="I24" s="36">
        <v>-1E-3</v>
      </c>
      <c r="J24" s="36">
        <v>-4.0000000000000001E-3</v>
      </c>
      <c r="K24" s="36">
        <v>-1.4E-2</v>
      </c>
      <c r="L24" s="36">
        <v>1.6E-2</v>
      </c>
      <c r="M24" s="41">
        <v>2.5000000000000001E-2</v>
      </c>
      <c r="N24" s="36">
        <v>0.106</v>
      </c>
      <c r="O24" s="36">
        <v>0.158</v>
      </c>
      <c r="P24" s="36">
        <v>0.151</v>
      </c>
      <c r="Q24" s="36">
        <v>0.18</v>
      </c>
      <c r="R24" s="36">
        <v>0.128</v>
      </c>
      <c r="S24" s="36">
        <v>-5.6000000000000001E-2</v>
      </c>
      <c r="T24" s="36">
        <v>2.5000000000000001E-2</v>
      </c>
      <c r="U24" s="36">
        <v>-1.0999999999999999E-2</v>
      </c>
      <c r="V24" s="36">
        <v>-4.0000000000000001E-3</v>
      </c>
      <c r="W24" s="36">
        <v>-1.6E-2</v>
      </c>
      <c r="X24" s="36">
        <v>1E-3</v>
      </c>
      <c r="Y24" s="36">
        <v>-1E-3</v>
      </c>
      <c r="Z24" s="36">
        <v>-1.0999999999999999E-2</v>
      </c>
      <c r="AA24" s="36">
        <v>-2E-3</v>
      </c>
    </row>
    <row r="25" spans="2:27" x14ac:dyDescent="0.2">
      <c r="N25" s="20"/>
      <c r="O25" s="21"/>
      <c r="P25" s="21"/>
      <c r="Q25" s="21"/>
      <c r="R25" s="21"/>
      <c r="S25" s="21"/>
      <c r="T25" s="21"/>
      <c r="U25" s="21"/>
      <c r="V25" s="21"/>
      <c r="W25" s="21"/>
      <c r="X25" s="20"/>
    </row>
    <row r="26" spans="2:27" s="34" customFormat="1" x14ac:dyDescent="0.2">
      <c r="B26" s="34" t="s">
        <v>103</v>
      </c>
      <c r="D26" s="34">
        <v>0.29099999999999998</v>
      </c>
      <c r="E26" s="34">
        <v>0.30299999999999999</v>
      </c>
      <c r="F26" s="34">
        <v>0.30399999999999999</v>
      </c>
      <c r="G26" s="34">
        <v>0.30299999999999999</v>
      </c>
      <c r="H26" s="34">
        <v>0.30399999999999999</v>
      </c>
      <c r="I26" s="34">
        <v>0.308</v>
      </c>
      <c r="J26" s="34">
        <v>0.28000000000000003</v>
      </c>
      <c r="K26" s="34">
        <v>0.26500000000000001</v>
      </c>
      <c r="L26" s="34">
        <v>0.27900000000000003</v>
      </c>
      <c r="M26" s="34">
        <v>0.28199999999999997</v>
      </c>
      <c r="N26" s="34">
        <v>0.29099999999999998</v>
      </c>
      <c r="O26" s="40">
        <v>0.25700000000000001</v>
      </c>
      <c r="P26" s="40">
        <v>0.28899999999999998</v>
      </c>
      <c r="Q26" s="40">
        <v>0.28199999999999997</v>
      </c>
      <c r="R26" s="40">
        <v>0.28399999999999997</v>
      </c>
      <c r="S26" s="40">
        <v>0.27300000000000002</v>
      </c>
      <c r="T26" s="40">
        <v>0.26900000000000002</v>
      </c>
      <c r="U26" s="40">
        <v>0.309</v>
      </c>
      <c r="V26" s="40">
        <v>0.32300000000000001</v>
      </c>
      <c r="W26" s="40">
        <v>0.28499999999999998</v>
      </c>
      <c r="X26" s="34">
        <v>0.27800000000000002</v>
      </c>
      <c r="Y26" s="34">
        <v>0.27800000000000002</v>
      </c>
      <c r="Z26" s="34">
        <v>0.28100000000000003</v>
      </c>
      <c r="AA26" s="34">
        <v>0.25700000000000001</v>
      </c>
    </row>
    <row r="27" spans="2:27" s="20" customFormat="1" x14ac:dyDescent="0.2">
      <c r="B27" s="20" t="s">
        <v>104</v>
      </c>
      <c r="D27" s="20">
        <v>199.9</v>
      </c>
      <c r="E27" s="20">
        <v>118.8</v>
      </c>
      <c r="F27" s="20">
        <v>108.7</v>
      </c>
      <c r="G27" s="20">
        <v>119</v>
      </c>
      <c r="H27" s="20">
        <v>137.5</v>
      </c>
      <c r="I27" s="20">
        <v>123.1</v>
      </c>
      <c r="J27" s="20">
        <v>113.2</v>
      </c>
      <c r="K27" s="20">
        <v>112.9</v>
      </c>
      <c r="L27" s="20">
        <v>131.5</v>
      </c>
      <c r="M27" s="20">
        <v>126.7</v>
      </c>
      <c r="N27" s="20">
        <v>153.19999999999999</v>
      </c>
      <c r="O27" s="20">
        <v>113</v>
      </c>
      <c r="P27" s="20">
        <v>146.30000000000001</v>
      </c>
      <c r="Q27" s="20">
        <v>132.4</v>
      </c>
      <c r="R27" s="20">
        <v>139.69999999999999</v>
      </c>
      <c r="S27" s="20">
        <v>116.6</v>
      </c>
      <c r="T27" s="20">
        <v>122.3</v>
      </c>
      <c r="U27" s="20">
        <v>139.4</v>
      </c>
      <c r="V27" s="20">
        <v>166.3</v>
      </c>
      <c r="W27" s="20">
        <v>137.1</v>
      </c>
      <c r="X27" s="20">
        <v>120.1</v>
      </c>
      <c r="Y27" s="20">
        <v>129.30000000000001</v>
      </c>
      <c r="Z27" s="20">
        <v>142.69999999999999</v>
      </c>
      <c r="AA27" s="20">
        <v>130.6</v>
      </c>
    </row>
    <row r="28" spans="2:27" s="34" customFormat="1" x14ac:dyDescent="0.2">
      <c r="B28" s="34" t="s">
        <v>105</v>
      </c>
      <c r="D28" s="34">
        <v>0.17599999999999999</v>
      </c>
      <c r="E28" s="34">
        <v>0.19800000000000001</v>
      </c>
      <c r="F28" s="34">
        <v>0.189</v>
      </c>
      <c r="G28" s="34">
        <v>0.184</v>
      </c>
      <c r="H28" s="34">
        <v>0.19400000000000001</v>
      </c>
      <c r="I28" s="34">
        <v>0.20699999999999999</v>
      </c>
      <c r="J28" s="34">
        <v>0.189</v>
      </c>
      <c r="K28" s="34">
        <v>0.16</v>
      </c>
      <c r="L28" s="34">
        <v>0.17899999999999999</v>
      </c>
      <c r="M28" s="34">
        <v>0.182</v>
      </c>
      <c r="N28" s="34">
        <v>0.20200000000000001</v>
      </c>
      <c r="O28" s="34">
        <v>0.151</v>
      </c>
      <c r="P28" s="34">
        <v>0.189</v>
      </c>
      <c r="Q28" s="34">
        <v>0.17799999999999999</v>
      </c>
      <c r="R28" s="34">
        <v>0.183</v>
      </c>
      <c r="S28" s="34">
        <v>0.153</v>
      </c>
      <c r="T28" s="34">
        <v>0.156</v>
      </c>
      <c r="U28" s="34">
        <v>0.185</v>
      </c>
      <c r="V28" s="34">
        <v>0.216</v>
      </c>
      <c r="W28" s="34">
        <v>0.17299999999999999</v>
      </c>
      <c r="X28" s="34">
        <v>0.158</v>
      </c>
      <c r="Y28" s="34">
        <v>0.17299999999999999</v>
      </c>
      <c r="Z28" s="34">
        <v>0.19</v>
      </c>
    </row>
    <row r="29" spans="2:27" x14ac:dyDescent="0.2">
      <c r="J29" s="20"/>
    </row>
    <row r="30" spans="2:27" s="22" customFormat="1" ht="15" x14ac:dyDescent="0.25">
      <c r="B30" s="22" t="s">
        <v>51</v>
      </c>
      <c r="G30" s="22">
        <v>135.69999999999999</v>
      </c>
      <c r="H30" s="22">
        <v>117.9</v>
      </c>
      <c r="I30" s="22">
        <v>36</v>
      </c>
      <c r="J30" s="22">
        <v>7.7</v>
      </c>
      <c r="K30" s="22">
        <v>144.69999999999999</v>
      </c>
      <c r="L30" s="22">
        <v>78.2</v>
      </c>
      <c r="M30" s="22">
        <v>-2.9</v>
      </c>
      <c r="N30" s="23">
        <v>21.6</v>
      </c>
      <c r="O30" s="23">
        <v>206.9</v>
      </c>
      <c r="P30" s="23">
        <v>55.3</v>
      </c>
      <c r="Q30" s="23">
        <v>93.5</v>
      </c>
      <c r="R30" s="23">
        <v>100.1</v>
      </c>
      <c r="S30" s="23">
        <v>181.9</v>
      </c>
      <c r="T30" s="23">
        <v>99</v>
      </c>
      <c r="U30" s="22">
        <v>12.3</v>
      </c>
      <c r="V30" s="22">
        <v>97.6</v>
      </c>
      <c r="W30" s="22">
        <v>226.5</v>
      </c>
      <c r="X30" s="22">
        <v>50.6</v>
      </c>
      <c r="Y30" s="22">
        <v>69.599999999999994</v>
      </c>
      <c r="Z30" s="22">
        <v>54</v>
      </c>
    </row>
    <row r="31" spans="2:27" outlineLevel="1" x14ac:dyDescent="0.2">
      <c r="B31" s="17" t="s">
        <v>52</v>
      </c>
      <c r="G31" s="17">
        <v>21.4</v>
      </c>
      <c r="H31" s="17">
        <v>19.5</v>
      </c>
      <c r="I31" s="17">
        <v>14.7</v>
      </c>
      <c r="J31" s="17">
        <v>16.5</v>
      </c>
      <c r="K31" s="17">
        <v>28.5</v>
      </c>
      <c r="L31" s="17">
        <v>20.399999999999999</v>
      </c>
      <c r="M31" s="17">
        <v>13.5</v>
      </c>
      <c r="N31" s="19">
        <v>21.5</v>
      </c>
      <c r="O31" s="19">
        <v>23.7</v>
      </c>
      <c r="P31" s="19">
        <v>20.6</v>
      </c>
      <c r="Q31" s="19">
        <v>19.399999999999999</v>
      </c>
      <c r="R31" s="19">
        <v>19.100000000000001</v>
      </c>
      <c r="S31" s="19">
        <v>23.3</v>
      </c>
      <c r="T31" s="19">
        <v>18.8</v>
      </c>
      <c r="U31" s="19">
        <v>21.1</v>
      </c>
      <c r="V31" s="17">
        <v>16</v>
      </c>
      <c r="W31" s="20">
        <v>24.4</v>
      </c>
      <c r="X31" s="17">
        <v>18.7</v>
      </c>
      <c r="Y31" s="17">
        <v>18.399999999999999</v>
      </c>
      <c r="Z31" s="17">
        <v>22.5</v>
      </c>
    </row>
    <row r="32" spans="2:27" s="22" customFormat="1" ht="15" x14ac:dyDescent="0.25">
      <c r="B32" s="22" t="s">
        <v>53</v>
      </c>
      <c r="D32" s="22">
        <f t="shared" ref="D32:W32" si="5">D30-D31</f>
        <v>0</v>
      </c>
      <c r="E32" s="22">
        <f t="shared" si="5"/>
        <v>0</v>
      </c>
      <c r="F32" s="22">
        <f t="shared" si="5"/>
        <v>0</v>
      </c>
      <c r="G32" s="22">
        <f t="shared" si="5"/>
        <v>114.29999999999998</v>
      </c>
      <c r="H32" s="22">
        <f t="shared" si="5"/>
        <v>98.4</v>
      </c>
      <c r="I32" s="22">
        <f t="shared" si="5"/>
        <v>21.3</v>
      </c>
      <c r="J32" s="22">
        <f t="shared" si="5"/>
        <v>-8.8000000000000007</v>
      </c>
      <c r="K32" s="22">
        <f t="shared" si="5"/>
        <v>116.19999999999999</v>
      </c>
      <c r="L32" s="22">
        <f t="shared" si="5"/>
        <v>57.800000000000004</v>
      </c>
      <c r="M32" s="22">
        <f t="shared" si="5"/>
        <v>-16.399999999999999</v>
      </c>
      <c r="N32" s="22">
        <f t="shared" si="5"/>
        <v>0.10000000000000142</v>
      </c>
      <c r="O32" s="22">
        <f t="shared" si="5"/>
        <v>183.20000000000002</v>
      </c>
      <c r="P32" s="22">
        <f t="shared" si="5"/>
        <v>34.699999999999996</v>
      </c>
      <c r="Q32" s="22">
        <f t="shared" si="5"/>
        <v>74.099999999999994</v>
      </c>
      <c r="R32" s="22">
        <f t="shared" si="5"/>
        <v>81</v>
      </c>
      <c r="S32" s="22">
        <f t="shared" si="5"/>
        <v>158.6</v>
      </c>
      <c r="T32" s="22">
        <f t="shared" si="5"/>
        <v>80.2</v>
      </c>
      <c r="U32" s="22">
        <f t="shared" si="5"/>
        <v>-8.8000000000000007</v>
      </c>
      <c r="V32" s="22">
        <f t="shared" si="5"/>
        <v>81.599999999999994</v>
      </c>
      <c r="W32" s="22">
        <f t="shared" si="5"/>
        <v>202.1</v>
      </c>
      <c r="X32" s="22">
        <f>X30-X31</f>
        <v>31.900000000000002</v>
      </c>
      <c r="Y32" s="22">
        <f>Y30-Y31</f>
        <v>51.199999999999996</v>
      </c>
      <c r="Z32" s="22">
        <f>Z30-Z31</f>
        <v>31.5</v>
      </c>
    </row>
    <row r="33" spans="2:34" s="43" customFormat="1" ht="15" x14ac:dyDescent="0.25">
      <c r="B33" s="43" t="s">
        <v>118</v>
      </c>
      <c r="G33" s="43">
        <v>0.17380000000000001</v>
      </c>
      <c r="H33" s="43">
        <v>0.1391</v>
      </c>
      <c r="I33" s="43">
        <v>3.5700000000000003E-2</v>
      </c>
      <c r="J33" s="43">
        <v>-1.47E-2</v>
      </c>
      <c r="K33" s="43">
        <v>0.1651</v>
      </c>
      <c r="L33" s="43">
        <v>7.8899999999999998E-2</v>
      </c>
      <c r="M33" s="43">
        <v>-2.35E-2</v>
      </c>
      <c r="N33" s="43">
        <v>1E-4</v>
      </c>
      <c r="O33" s="43">
        <v>0.2442</v>
      </c>
      <c r="P33" s="43">
        <v>4.48E-2</v>
      </c>
      <c r="Q33" s="43">
        <v>9.9500000000000005E-2</v>
      </c>
      <c r="R33" s="43">
        <v>0.1061</v>
      </c>
      <c r="S33" s="43">
        <v>0.20849999999999999</v>
      </c>
      <c r="T33" s="43">
        <v>0.1023</v>
      </c>
      <c r="U33" s="43">
        <v>-1.17E-2</v>
      </c>
      <c r="V33" s="43">
        <v>0.106</v>
      </c>
      <c r="W33" s="43">
        <v>0.25469999999999998</v>
      </c>
      <c r="X33" s="43">
        <v>4.2000000000000003E-2</v>
      </c>
      <c r="Y33" s="43">
        <v>6.8599999999999994E-2</v>
      </c>
      <c r="Z33" s="43">
        <v>4.19E-2</v>
      </c>
    </row>
    <row r="34" spans="2:34" s="32" customFormat="1" x14ac:dyDescent="0.2">
      <c r="B34" s="32" t="s">
        <v>54</v>
      </c>
      <c r="D34" s="33" t="s">
        <v>47</v>
      </c>
      <c r="E34" s="33" t="s">
        <v>47</v>
      </c>
      <c r="F34" s="33" t="s">
        <v>47</v>
      </c>
      <c r="G34" s="33" t="s">
        <v>47</v>
      </c>
      <c r="H34" s="33" t="s">
        <v>47</v>
      </c>
      <c r="I34" s="33" t="s">
        <v>47</v>
      </c>
      <c r="J34" s="33" t="s">
        <v>47</v>
      </c>
      <c r="K34" s="33" t="s">
        <v>47</v>
      </c>
      <c r="L34" s="33" t="s">
        <v>47</v>
      </c>
      <c r="M34" s="33" t="s">
        <v>47</v>
      </c>
      <c r="N34" s="33" t="s">
        <v>47</v>
      </c>
      <c r="O34" s="33" t="s">
        <v>47</v>
      </c>
      <c r="P34" s="33" t="s">
        <v>47</v>
      </c>
      <c r="Q34" s="33" t="s">
        <v>47</v>
      </c>
      <c r="R34" s="33" t="s">
        <v>47</v>
      </c>
      <c r="S34" s="33" t="s">
        <v>47</v>
      </c>
      <c r="T34" s="33">
        <v>0.15</v>
      </c>
      <c r="U34" s="32">
        <v>0.15</v>
      </c>
      <c r="V34" s="32">
        <v>0.17</v>
      </c>
      <c r="W34" s="32">
        <v>0.17</v>
      </c>
      <c r="X34" s="32">
        <v>0.17</v>
      </c>
      <c r="Y34" s="32">
        <v>0.17</v>
      </c>
      <c r="Z34" s="32">
        <v>0.17</v>
      </c>
    </row>
    <row r="35" spans="2:34" s="32" customFormat="1" x14ac:dyDescent="0.2">
      <c r="B35" s="32" t="s">
        <v>116</v>
      </c>
      <c r="D35" s="33" t="s">
        <v>47</v>
      </c>
      <c r="E35" s="33" t="s">
        <v>47</v>
      </c>
      <c r="F35" s="33" t="s">
        <v>47</v>
      </c>
      <c r="G35" s="33" t="s">
        <v>47</v>
      </c>
      <c r="H35" s="33" t="s">
        <v>47</v>
      </c>
      <c r="I35" s="33" t="s">
        <v>47</v>
      </c>
      <c r="J35" s="33" t="s">
        <v>47</v>
      </c>
      <c r="K35" s="33" t="s">
        <v>47</v>
      </c>
      <c r="L35" s="33" t="s">
        <v>47</v>
      </c>
      <c r="M35" s="33" t="s">
        <v>47</v>
      </c>
      <c r="N35" s="33" t="s">
        <v>47</v>
      </c>
      <c r="O35" s="33" t="s">
        <v>47</v>
      </c>
      <c r="P35" s="33" t="s">
        <v>47</v>
      </c>
      <c r="Q35" s="33" t="s">
        <v>47</v>
      </c>
      <c r="R35" s="33" t="s">
        <v>47</v>
      </c>
      <c r="S35" s="33" t="s">
        <v>47</v>
      </c>
      <c r="T35" s="33">
        <v>22.3</v>
      </c>
      <c r="U35" s="32">
        <v>22.8</v>
      </c>
      <c r="V35" s="32">
        <v>22.3</v>
      </c>
      <c r="W35" s="32">
        <v>21.8</v>
      </c>
      <c r="X35" s="32">
        <v>25.3</v>
      </c>
      <c r="Y35" s="32">
        <v>23.1</v>
      </c>
      <c r="Z35" s="32">
        <v>21.3</v>
      </c>
    </row>
    <row r="36" spans="2:34" s="32" customFormat="1" x14ac:dyDescent="0.2">
      <c r="B36" s="32" t="s">
        <v>117</v>
      </c>
      <c r="G36" s="32">
        <v>129.5</v>
      </c>
      <c r="H36" s="32">
        <v>26.9</v>
      </c>
      <c r="I36" s="32">
        <v>5.3</v>
      </c>
      <c r="J36" s="32">
        <v>0.8</v>
      </c>
      <c r="K36" s="33">
        <v>67.2</v>
      </c>
      <c r="L36" s="33">
        <v>26.8</v>
      </c>
      <c r="M36" s="33">
        <v>0.7</v>
      </c>
      <c r="N36" s="33">
        <v>2.1</v>
      </c>
      <c r="O36" s="33">
        <v>0.1</v>
      </c>
      <c r="P36" s="33">
        <v>0</v>
      </c>
      <c r="Q36" s="33">
        <v>58.9</v>
      </c>
      <c r="R36" s="33">
        <v>66.2</v>
      </c>
      <c r="S36" s="33">
        <v>52.9</v>
      </c>
      <c r="T36" s="33">
        <v>7.1</v>
      </c>
      <c r="U36" s="32">
        <v>16.7</v>
      </c>
      <c r="V36" s="32">
        <v>24.3</v>
      </c>
      <c r="W36" s="32">
        <v>76.400000000000006</v>
      </c>
      <c r="X36" s="32">
        <v>48.9</v>
      </c>
      <c r="Y36" s="32">
        <v>58.2</v>
      </c>
      <c r="Z36" s="32">
        <v>51</v>
      </c>
      <c r="AA36" s="32">
        <v>37.5</v>
      </c>
    </row>
    <row r="37" spans="2:34" x14ac:dyDescent="0.2">
      <c r="N37" s="19"/>
      <c r="O37" s="19"/>
      <c r="P37" s="19"/>
      <c r="Q37" s="19"/>
      <c r="R37" s="19"/>
      <c r="S37" s="19"/>
      <c r="T37" s="19"/>
    </row>
    <row r="38" spans="2:34" s="3" customFormat="1" x14ac:dyDescent="0.2">
      <c r="B38" s="3" t="s">
        <v>55</v>
      </c>
      <c r="D38" s="3" t="s">
        <v>47</v>
      </c>
      <c r="E38" s="3" t="s">
        <v>47</v>
      </c>
      <c r="F38" s="3" t="s">
        <v>47</v>
      </c>
      <c r="G38" s="3" t="s">
        <v>47</v>
      </c>
      <c r="H38" s="3" t="e">
        <f t="shared" ref="H38:W38" si="6">IF(D32=0,IF(H32=0,0,NA()),(H32-D32)/ABS(D32))</f>
        <v>#N/A</v>
      </c>
      <c r="I38" s="3" t="e">
        <f t="shared" si="6"/>
        <v>#N/A</v>
      </c>
      <c r="J38" s="3" t="e">
        <f t="shared" si="6"/>
        <v>#N/A</v>
      </c>
      <c r="K38" s="3">
        <f t="shared" si="6"/>
        <v>1.6622922134733209E-2</v>
      </c>
      <c r="L38" s="3">
        <f t="shared" si="6"/>
        <v>-0.41260162601626016</v>
      </c>
      <c r="M38" s="3">
        <f t="shared" si="6"/>
        <v>-1.7699530516431925</v>
      </c>
      <c r="N38" s="3">
        <f t="shared" si="6"/>
        <v>1.0113636363636365</v>
      </c>
      <c r="O38" s="3">
        <f t="shared" si="6"/>
        <v>0.57659208261617934</v>
      </c>
      <c r="P38" s="3">
        <f t="shared" si="6"/>
        <v>-0.39965397923875445</v>
      </c>
      <c r="Q38" s="3">
        <f t="shared" si="6"/>
        <v>5.5182926829268295</v>
      </c>
      <c r="R38" s="3">
        <f t="shared" si="6"/>
        <v>808.99999999998852</v>
      </c>
      <c r="S38" s="3">
        <f t="shared" si="6"/>
        <v>-0.13427947598253287</v>
      </c>
      <c r="T38" s="3">
        <f t="shared" si="6"/>
        <v>1.3112391930835738</v>
      </c>
      <c r="U38" s="3">
        <f t="shared" si="6"/>
        <v>-1.1187584345479082</v>
      </c>
      <c r="V38" s="3">
        <f t="shared" si="6"/>
        <v>7.4074074074073374E-3</v>
      </c>
      <c r="W38" s="3">
        <f t="shared" si="6"/>
        <v>0.27427490542244642</v>
      </c>
      <c r="X38" s="3">
        <f>IF(T32=0,IF(X32=0,0,NA()),(X32-T32)/ABS(T32))</f>
        <v>-0.60224438902743138</v>
      </c>
      <c r="Y38" s="3">
        <f>IF(U32=0,IF(Y32=0,0,NA()),(Y32-U32)/ABS(U32))</f>
        <v>6.8181818181818175</v>
      </c>
    </row>
    <row r="39" spans="2:34" x14ac:dyDescent="0.2">
      <c r="B39" s="17" t="s">
        <v>3</v>
      </c>
      <c r="G39" s="17">
        <v>183.2</v>
      </c>
      <c r="K39" s="17">
        <v>178.1</v>
      </c>
      <c r="O39" s="17">
        <v>174.2</v>
      </c>
      <c r="S39" s="17">
        <v>164.4</v>
      </c>
      <c r="W39" s="17">
        <v>159.19999999999999</v>
      </c>
      <c r="Z39" s="17">
        <v>147.9</v>
      </c>
      <c r="AA39" s="17">
        <v>144.9</v>
      </c>
    </row>
    <row r="40" spans="2:34" ht="15" thickBot="1" x14ac:dyDescent="0.25"/>
    <row r="41" spans="2:34" x14ac:dyDescent="0.2">
      <c r="B41" s="24" t="s">
        <v>56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 t="s">
        <v>107</v>
      </c>
      <c r="AA41" s="25" t="s">
        <v>125</v>
      </c>
      <c r="AB41" s="25"/>
      <c r="AC41" s="25"/>
      <c r="AD41" s="25"/>
      <c r="AE41" s="25"/>
      <c r="AF41" s="25"/>
      <c r="AG41" s="25"/>
      <c r="AH41" s="26"/>
    </row>
    <row r="42" spans="2:34" x14ac:dyDescent="0.2">
      <c r="B42" s="27"/>
      <c r="Z42" s="17" t="s">
        <v>108</v>
      </c>
      <c r="AA42" s="17" t="s">
        <v>126</v>
      </c>
      <c r="AH42" s="28"/>
    </row>
    <row r="43" spans="2:34" x14ac:dyDescent="0.2">
      <c r="B43" s="27"/>
      <c r="Z43" s="42" t="s">
        <v>109</v>
      </c>
      <c r="AA43" s="17" t="s">
        <v>127</v>
      </c>
      <c r="AH43" s="28"/>
    </row>
    <row r="44" spans="2:34" ht="15" thickBot="1" x14ac:dyDescent="0.25"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 t="s">
        <v>110</v>
      </c>
      <c r="AA44" s="30" t="s">
        <v>128</v>
      </c>
      <c r="AB44" s="30"/>
      <c r="AC44" s="30"/>
      <c r="AD44" s="30"/>
      <c r="AE44" s="30"/>
      <c r="AF44" s="30"/>
      <c r="AG44" s="30"/>
      <c r="AH44" s="31"/>
    </row>
    <row r="45" spans="2:34" ht="15" thickBot="1" x14ac:dyDescent="0.25">
      <c r="Z45" s="17" t="s">
        <v>111</v>
      </c>
    </row>
    <row r="46" spans="2:34" x14ac:dyDescent="0.2">
      <c r="B46" s="24" t="s">
        <v>57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S46" s="25"/>
      <c r="T46" s="25"/>
      <c r="U46" s="25"/>
      <c r="V46" s="25"/>
      <c r="W46" s="25"/>
      <c r="X46" s="25"/>
      <c r="Y46" s="25"/>
      <c r="Z46" s="25"/>
      <c r="AA46" s="26"/>
    </row>
    <row r="47" spans="2:34" x14ac:dyDescent="0.2">
      <c r="B47" s="27"/>
      <c r="AA47" s="28"/>
    </row>
    <row r="48" spans="2:34" x14ac:dyDescent="0.2">
      <c r="B48" s="27"/>
      <c r="Z48" s="17" t="s">
        <v>112</v>
      </c>
      <c r="AA48" s="28"/>
    </row>
    <row r="49" spans="2:34" x14ac:dyDescent="0.2">
      <c r="B49" s="27"/>
      <c r="Z49" s="17" t="s">
        <v>113</v>
      </c>
      <c r="AA49" s="28"/>
    </row>
    <row r="50" spans="2:34" ht="15" thickBot="1" x14ac:dyDescent="0.25">
      <c r="B50" s="29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 t="s">
        <v>119</v>
      </c>
      <c r="AA50" s="31"/>
    </row>
    <row r="51" spans="2:34" ht="15" thickBot="1" x14ac:dyDescent="0.25"/>
    <row r="52" spans="2:34" x14ac:dyDescent="0.2">
      <c r="B52" s="24"/>
      <c r="C52" s="25"/>
      <c r="Z52" s="17" t="s">
        <v>114</v>
      </c>
    </row>
    <row r="53" spans="2:34" x14ac:dyDescent="0.2">
      <c r="B53" s="27"/>
      <c r="Z53" s="17" t="s">
        <v>115</v>
      </c>
    </row>
    <row r="54" spans="2:34" x14ac:dyDescent="0.2">
      <c r="B54" s="27"/>
    </row>
    <row r="55" spans="2:34" x14ac:dyDescent="0.2">
      <c r="B55" s="27"/>
    </row>
    <row r="56" spans="2:34" ht="15" thickBot="1" x14ac:dyDescent="0.25">
      <c r="B56" s="29"/>
      <c r="C56" s="30"/>
    </row>
    <row r="57" spans="2:34" ht="15" thickBot="1" x14ac:dyDescent="0.25"/>
    <row r="58" spans="2:34" x14ac:dyDescent="0.2">
      <c r="B58" s="24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6"/>
    </row>
    <row r="59" spans="2:34" x14ac:dyDescent="0.2">
      <c r="B59" s="27"/>
      <c r="AH59" s="28"/>
    </row>
    <row r="60" spans="2:34" ht="15" customHeight="1" x14ac:dyDescent="0.2">
      <c r="B60" s="27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</row>
    <row r="61" spans="2:34" ht="15" customHeight="1" x14ac:dyDescent="0.2">
      <c r="B61" s="27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5"/>
    </row>
    <row r="62" spans="2:34" ht="15" customHeight="1" x14ac:dyDescent="0.2">
      <c r="B62" s="27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5"/>
    </row>
    <row r="63" spans="2:34" ht="15" customHeight="1" x14ac:dyDescent="0.2">
      <c r="B63" s="27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5"/>
    </row>
    <row r="64" spans="2:34" ht="15" customHeight="1" x14ac:dyDescent="0.2">
      <c r="B64" s="27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5"/>
    </row>
    <row r="65" spans="2:34" ht="15" customHeight="1" x14ac:dyDescent="0.2">
      <c r="B65" s="27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5"/>
    </row>
    <row r="66" spans="2:34" ht="15" customHeight="1" x14ac:dyDescent="0.2">
      <c r="B66" s="27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5"/>
    </row>
    <row r="67" spans="2:34" ht="15" customHeight="1" x14ac:dyDescent="0.2">
      <c r="B67" s="27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5"/>
    </row>
    <row r="68" spans="2:34" ht="15" customHeight="1" x14ac:dyDescent="0.2">
      <c r="B68" s="27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5"/>
    </row>
    <row r="69" spans="2:34" ht="15.75" customHeight="1" x14ac:dyDescent="0.2">
      <c r="B69" s="27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5"/>
    </row>
    <row r="70" spans="2:34" ht="15" x14ac:dyDescent="0.25">
      <c r="B70" s="27"/>
      <c r="S70" s="22"/>
      <c r="AH70" s="28"/>
    </row>
    <row r="71" spans="2:34" x14ac:dyDescent="0.2">
      <c r="B71" s="27"/>
      <c r="AH71" s="28"/>
    </row>
    <row r="72" spans="2:34" x14ac:dyDescent="0.2">
      <c r="B72" s="27"/>
      <c r="AH72" s="28"/>
    </row>
    <row r="73" spans="2:34" x14ac:dyDescent="0.2">
      <c r="B73" s="27"/>
      <c r="AH73" s="28"/>
    </row>
    <row r="74" spans="2:34" x14ac:dyDescent="0.2">
      <c r="B74" s="27"/>
      <c r="AH74" s="28"/>
    </row>
    <row r="75" spans="2:34" x14ac:dyDescent="0.2">
      <c r="B75" s="27"/>
      <c r="AH75" s="28"/>
    </row>
    <row r="76" spans="2:34" x14ac:dyDescent="0.2">
      <c r="B76" s="27"/>
      <c r="AH76" s="28"/>
    </row>
    <row r="77" spans="2:34" x14ac:dyDescent="0.2">
      <c r="B77" s="27"/>
      <c r="AH77" s="28"/>
    </row>
    <row r="78" spans="2:34" x14ac:dyDescent="0.2">
      <c r="B78" s="27"/>
      <c r="AH78" s="28"/>
    </row>
    <row r="79" spans="2:34" x14ac:dyDescent="0.2">
      <c r="B79" s="27"/>
      <c r="AH79" s="28"/>
    </row>
    <row r="80" spans="2:34" x14ac:dyDescent="0.2">
      <c r="B80" s="27"/>
      <c r="AH80" s="28"/>
    </row>
    <row r="81" spans="2:34" x14ac:dyDescent="0.2">
      <c r="B81" s="27"/>
      <c r="AH81" s="28"/>
    </row>
    <row r="82" spans="2:34" x14ac:dyDescent="0.2">
      <c r="B82" s="27"/>
      <c r="AH82" s="28"/>
    </row>
    <row r="83" spans="2:34" ht="15" thickBot="1" x14ac:dyDescent="0.25">
      <c r="B83" s="29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1"/>
    </row>
  </sheetData>
  <mergeCells count="10">
    <mergeCell ref="C66:AH66"/>
    <mergeCell ref="C67:AH67"/>
    <mergeCell ref="C68:AH68"/>
    <mergeCell ref="C69:AH69"/>
    <mergeCell ref="C60:AH60"/>
    <mergeCell ref="C61:AH61"/>
    <mergeCell ref="C62:AH62"/>
    <mergeCell ref="C63:AH63"/>
    <mergeCell ref="C64:AH64"/>
    <mergeCell ref="C65:AH65"/>
  </mergeCells>
  <hyperlinks>
    <hyperlink ref="A1" location="Main!A1" display="Main" xr:uid="{C4C2BA24-741F-4943-B671-6B8F228B0E6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2619-8979-49FD-836E-25F19045B591}">
  <dimension ref="A1"/>
  <sheetViews>
    <sheetView workbookViewId="0">
      <selection activeCell="F37" sqref="F37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7D48-EB9F-4D86-B034-6D4D914467EB}">
  <dimension ref="A1:C8"/>
  <sheetViews>
    <sheetView workbookViewId="0">
      <selection activeCell="A9" sqref="A9"/>
    </sheetView>
  </sheetViews>
  <sheetFormatPr defaultRowHeight="14.25" x14ac:dyDescent="0.2"/>
  <cols>
    <col min="1" max="1" width="37.5" bestFit="1" customWidth="1"/>
  </cols>
  <sheetData>
    <row r="1" spans="1:3" x14ac:dyDescent="0.2">
      <c r="A1" t="s">
        <v>66</v>
      </c>
      <c r="B1">
        <v>620</v>
      </c>
    </row>
    <row r="2" spans="1:3" x14ac:dyDescent="0.2">
      <c r="A2" t="s">
        <v>67</v>
      </c>
      <c r="B2">
        <v>880</v>
      </c>
    </row>
    <row r="3" spans="1:3" x14ac:dyDescent="0.2">
      <c r="A3" t="s">
        <v>68</v>
      </c>
      <c r="B3">
        <v>175</v>
      </c>
    </row>
    <row r="4" spans="1:3" x14ac:dyDescent="0.2">
      <c r="A4" t="s">
        <v>69</v>
      </c>
      <c r="B4">
        <v>800</v>
      </c>
    </row>
    <row r="5" spans="1:3" x14ac:dyDescent="0.2">
      <c r="A5" t="s">
        <v>70</v>
      </c>
      <c r="B5">
        <v>89.1</v>
      </c>
    </row>
    <row r="7" spans="1:3" x14ac:dyDescent="0.2">
      <c r="A7" t="s">
        <v>64</v>
      </c>
      <c r="C7" t="s">
        <v>65</v>
      </c>
    </row>
    <row r="8" spans="1:3" x14ac:dyDescent="0.2">
      <c r="A8" t="s">
        <v>71</v>
      </c>
      <c r="B8">
        <v>2110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05D6-96D9-480A-942F-CB5D59218771}">
  <dimension ref="A1:R15"/>
  <sheetViews>
    <sheetView workbookViewId="0">
      <pane xSplit="2" ySplit="26" topLeftCell="H27" activePane="bottomRight" state="frozen"/>
      <selection pane="topRight" activeCell="C1" sqref="C1"/>
      <selection pane="bottomLeft" activeCell="A28" sqref="A28"/>
      <selection pane="bottomRight" activeCell="I37" sqref="I37"/>
    </sheetView>
  </sheetViews>
  <sheetFormatPr defaultRowHeight="15" x14ac:dyDescent="0.2"/>
  <cols>
    <col min="1" max="1" width="24.125" style="4" bestFit="1" customWidth="1"/>
    <col min="2" max="2" width="74.5" style="4" bestFit="1" customWidth="1"/>
    <col min="3" max="3" width="11.875" style="4" bestFit="1" customWidth="1"/>
    <col min="4" max="4" width="9.625" style="4" bestFit="1" customWidth="1"/>
    <col min="5" max="5" width="11.875" style="4" bestFit="1" customWidth="1"/>
    <col min="6" max="6" width="14" style="4" bestFit="1" customWidth="1"/>
    <col min="7" max="7" width="17.75" style="4" bestFit="1" customWidth="1"/>
    <col min="8" max="8" width="17.75" style="4" customWidth="1"/>
    <col min="9" max="9" width="12.875" style="4" bestFit="1" customWidth="1"/>
    <col min="10" max="10" width="12" style="4" bestFit="1" customWidth="1"/>
    <col min="11" max="11" width="11.875" style="4" bestFit="1" customWidth="1"/>
    <col min="12" max="12" width="11.875" style="4" customWidth="1"/>
    <col min="13" max="13" width="9.75" style="4" bestFit="1" customWidth="1"/>
    <col min="14" max="14" width="10.5" style="4" bestFit="1" customWidth="1"/>
    <col min="15" max="15" width="21.5" style="6" bestFit="1" customWidth="1"/>
    <col min="16" max="16" width="18.5" style="4" bestFit="1" customWidth="1"/>
    <col min="17" max="17" width="13.875" style="4" bestFit="1" customWidth="1"/>
    <col min="18" max="18" width="9" style="6"/>
    <col min="19" max="16384" width="9" style="4"/>
  </cols>
  <sheetData>
    <row r="1" spans="1:18" ht="15.75" x14ac:dyDescent="0.25">
      <c r="A1" s="5" t="s">
        <v>59</v>
      </c>
      <c r="B1" s="5" t="s">
        <v>60</v>
      </c>
      <c r="C1" s="5" t="s">
        <v>5</v>
      </c>
      <c r="D1" s="5" t="s">
        <v>36</v>
      </c>
      <c r="E1" s="5" t="s">
        <v>43</v>
      </c>
      <c r="F1" s="7" t="s">
        <v>49</v>
      </c>
      <c r="G1" s="7" t="s">
        <v>50</v>
      </c>
      <c r="H1" s="7" t="s">
        <v>97</v>
      </c>
      <c r="I1" s="5" t="s">
        <v>61</v>
      </c>
      <c r="J1" s="5" t="s">
        <v>62</v>
      </c>
      <c r="K1" s="5" t="s">
        <v>63</v>
      </c>
      <c r="L1" s="5" t="s">
        <v>91</v>
      </c>
      <c r="M1" s="5" t="s">
        <v>93</v>
      </c>
      <c r="N1" s="5" t="s">
        <v>92</v>
      </c>
      <c r="O1" s="7" t="s">
        <v>120</v>
      </c>
      <c r="P1" s="5" t="s">
        <v>96</v>
      </c>
      <c r="Q1" s="5" t="s">
        <v>64</v>
      </c>
      <c r="R1" s="7" t="s">
        <v>94</v>
      </c>
    </row>
    <row r="2" spans="1:18" x14ac:dyDescent="0.2">
      <c r="A2" s="10" t="s">
        <v>78</v>
      </c>
      <c r="B2" s="10" t="s">
        <v>72</v>
      </c>
      <c r="C2" s="10">
        <v>1880</v>
      </c>
      <c r="D2" s="10">
        <v>3580</v>
      </c>
      <c r="E2" s="10">
        <v>230</v>
      </c>
      <c r="F2" s="11">
        <v>0.27879999999999999</v>
      </c>
      <c r="G2" s="11">
        <v>0.13420000000000001</v>
      </c>
      <c r="H2" s="11">
        <v>6.5100000000000005E-2</v>
      </c>
      <c r="I2" s="8">
        <v>6.24</v>
      </c>
      <c r="J2" s="46">
        <v>12.2</v>
      </c>
      <c r="K2" s="10">
        <v>7.86</v>
      </c>
      <c r="L2" s="8">
        <v>0.62</v>
      </c>
      <c r="M2" s="10">
        <v>0.63</v>
      </c>
      <c r="N2" s="8">
        <v>4.99</v>
      </c>
      <c r="O2" s="9">
        <v>0.19869999999999999</v>
      </c>
      <c r="P2" s="10">
        <v>2.2400000000000002</v>
      </c>
      <c r="Q2" s="10">
        <v>3.49</v>
      </c>
      <c r="R2" s="11">
        <v>5.2900000000000003E-2</v>
      </c>
    </row>
    <row r="3" spans="1:18" x14ac:dyDescent="0.2">
      <c r="A3" s="4" t="s">
        <v>74</v>
      </c>
      <c r="B3" s="4" t="s">
        <v>73</v>
      </c>
      <c r="C3" s="4">
        <v>79900</v>
      </c>
      <c r="D3" s="4">
        <v>38540</v>
      </c>
      <c r="E3" s="4">
        <v>2450</v>
      </c>
      <c r="F3" s="6">
        <v>0.2838</v>
      </c>
      <c r="G3" s="6">
        <v>9.4200000000000006E-2</v>
      </c>
      <c r="H3" s="6">
        <v>6.3600000000000004E-2</v>
      </c>
      <c r="I3" s="4">
        <v>18.18</v>
      </c>
      <c r="J3" s="4">
        <v>32.67</v>
      </c>
      <c r="K3" s="4">
        <v>19.78</v>
      </c>
      <c r="L3" s="4">
        <v>3.06</v>
      </c>
      <c r="M3" s="4">
        <v>2.0699999999999998</v>
      </c>
      <c r="N3" s="4">
        <v>24.51</v>
      </c>
      <c r="O3" s="6">
        <v>4.0300000000000002E-2</v>
      </c>
      <c r="P3" s="4">
        <v>19.850000000000001</v>
      </c>
      <c r="Q3" s="4">
        <v>3.98</v>
      </c>
      <c r="R3" s="6">
        <v>3.1300000000000001E-2</v>
      </c>
    </row>
    <row r="4" spans="1:18" x14ac:dyDescent="0.2">
      <c r="A4" s="4" t="s">
        <v>75</v>
      </c>
      <c r="B4" s="4" t="s">
        <v>87</v>
      </c>
      <c r="C4" s="4">
        <v>45300</v>
      </c>
      <c r="D4" s="4">
        <v>11690</v>
      </c>
      <c r="E4" s="4">
        <v>883</v>
      </c>
      <c r="F4" s="6">
        <v>0.18459999999999999</v>
      </c>
      <c r="G4" s="6">
        <v>0.1323</v>
      </c>
      <c r="H4" s="6">
        <v>7.5499999999999998E-2</v>
      </c>
      <c r="I4" s="4">
        <v>23.39</v>
      </c>
      <c r="J4" s="4">
        <v>52.41</v>
      </c>
      <c r="K4" s="4">
        <v>25.09</v>
      </c>
      <c r="L4" s="4">
        <v>9.94</v>
      </c>
      <c r="M4" s="4">
        <v>3.95</v>
      </c>
      <c r="N4" s="4">
        <v>17.8</v>
      </c>
      <c r="O4" s="6" t="s">
        <v>47</v>
      </c>
      <c r="P4" s="4">
        <v>4.4800000000000004</v>
      </c>
      <c r="Q4" s="4">
        <v>2.19</v>
      </c>
      <c r="R4" s="6">
        <v>2.4199999999999999E-2</v>
      </c>
    </row>
    <row r="5" spans="1:18" x14ac:dyDescent="0.2">
      <c r="A5" s="4" t="s">
        <v>76</v>
      </c>
      <c r="B5" s="4" t="s">
        <v>79</v>
      </c>
      <c r="C5" s="4">
        <v>43610</v>
      </c>
      <c r="D5" s="4">
        <v>82650</v>
      </c>
      <c r="E5" s="4">
        <v>1880</v>
      </c>
      <c r="F5" s="6">
        <v>0.18459999999999999</v>
      </c>
      <c r="G5" s="6">
        <v>4.3200000000000002E-2</v>
      </c>
      <c r="H5" s="6">
        <v>2.18E-2</v>
      </c>
      <c r="I5" s="4">
        <v>17.63</v>
      </c>
      <c r="J5" s="4">
        <v>24.2</v>
      </c>
      <c r="K5" s="4">
        <v>12.39</v>
      </c>
      <c r="L5" s="4">
        <v>18.84</v>
      </c>
      <c r="M5" s="4">
        <v>0.52</v>
      </c>
      <c r="N5" s="4">
        <v>24.42</v>
      </c>
      <c r="O5" s="6">
        <v>4.0300000000000002E-2</v>
      </c>
      <c r="P5" s="4">
        <v>13.74</v>
      </c>
      <c r="Q5" s="4">
        <v>3.04</v>
      </c>
      <c r="R5" s="6">
        <v>2.4E-2</v>
      </c>
    </row>
    <row r="6" spans="1:18" x14ac:dyDescent="0.2">
      <c r="A6" s="4" t="s">
        <v>77</v>
      </c>
      <c r="B6" s="4" t="s">
        <v>90</v>
      </c>
      <c r="C6" s="4">
        <v>29420</v>
      </c>
      <c r="D6" s="4">
        <v>24940</v>
      </c>
      <c r="E6" s="4">
        <v>-5850</v>
      </c>
      <c r="F6" s="9">
        <v>0.32319999999999999</v>
      </c>
      <c r="G6" s="9">
        <v>0.18640000000000001</v>
      </c>
      <c r="H6" s="12">
        <v>-0.2344</v>
      </c>
      <c r="I6" s="4">
        <v>10.92</v>
      </c>
      <c r="J6" s="4">
        <v>13.01</v>
      </c>
      <c r="K6" s="4">
        <v>8.41</v>
      </c>
      <c r="L6" s="4">
        <v>0.69</v>
      </c>
      <c r="M6" s="4">
        <v>1.1499999999999999</v>
      </c>
      <c r="N6" s="4">
        <v>7.86</v>
      </c>
      <c r="O6" s="6">
        <v>0.12470000000000001</v>
      </c>
      <c r="P6" s="4">
        <v>17.54</v>
      </c>
      <c r="Q6" s="4">
        <v>3.12</v>
      </c>
      <c r="R6" s="6">
        <v>6.5699999999999995E-2</v>
      </c>
    </row>
    <row r="7" spans="1:18" x14ac:dyDescent="0.2">
      <c r="A7" s="4" t="s">
        <v>80</v>
      </c>
      <c r="B7" s="4" t="s">
        <v>90</v>
      </c>
      <c r="C7" s="4">
        <v>25570</v>
      </c>
      <c r="D7" s="4">
        <v>18780</v>
      </c>
      <c r="E7" s="4">
        <v>2530</v>
      </c>
      <c r="F7" s="6">
        <v>0.33829999999999999</v>
      </c>
      <c r="G7" s="6">
        <v>0.15959999999999999</v>
      </c>
      <c r="H7" s="9">
        <v>0.1351</v>
      </c>
      <c r="I7" s="4">
        <v>13.09</v>
      </c>
      <c r="J7" s="4">
        <v>10.51</v>
      </c>
      <c r="K7" s="4">
        <v>11.06</v>
      </c>
      <c r="L7" s="4">
        <v>2.8</v>
      </c>
      <c r="M7" s="4">
        <v>1.39</v>
      </c>
      <c r="N7" s="4">
        <v>14.54</v>
      </c>
      <c r="O7" s="6">
        <v>6.9099999999999995E-2</v>
      </c>
      <c r="P7" s="4">
        <v>13.05</v>
      </c>
      <c r="Q7" s="4">
        <v>3.68</v>
      </c>
      <c r="R7" s="6">
        <v>5.0200000000000002E-2</v>
      </c>
    </row>
    <row r="8" spans="1:18" x14ac:dyDescent="0.2">
      <c r="A8" s="4" t="s">
        <v>81</v>
      </c>
      <c r="B8" s="4" t="s">
        <v>89</v>
      </c>
      <c r="C8" s="4">
        <v>22540</v>
      </c>
      <c r="D8" s="4">
        <v>55130</v>
      </c>
      <c r="E8" s="4">
        <v>200</v>
      </c>
      <c r="F8" s="6">
        <v>6.13E-2</v>
      </c>
      <c r="G8" s="6">
        <v>2.3099999999999999E-2</v>
      </c>
      <c r="H8" s="6">
        <v>3.5999999999999999E-3</v>
      </c>
      <c r="I8" s="4">
        <v>14.32</v>
      </c>
      <c r="J8" s="4">
        <v>112.99</v>
      </c>
      <c r="K8" s="4">
        <v>11.55</v>
      </c>
      <c r="L8" s="4">
        <v>1.24</v>
      </c>
      <c r="M8" s="8">
        <v>0.4</v>
      </c>
      <c r="N8" s="4">
        <v>20.350000000000001</v>
      </c>
      <c r="O8" s="6">
        <v>4.9200000000000001E-2</v>
      </c>
      <c r="P8" s="4">
        <v>6.97</v>
      </c>
      <c r="Q8" s="4">
        <v>2.69</v>
      </c>
      <c r="R8" s="6">
        <v>3.2199999999999999E-2</v>
      </c>
    </row>
    <row r="9" spans="1:18" x14ac:dyDescent="0.2">
      <c r="A9" s="4" t="s">
        <v>95</v>
      </c>
      <c r="B9" s="4" t="s">
        <v>88</v>
      </c>
      <c r="C9" s="4">
        <v>6980</v>
      </c>
      <c r="D9" s="4">
        <v>6470</v>
      </c>
      <c r="E9" s="4">
        <v>392</v>
      </c>
      <c r="F9" s="6">
        <v>0.221</v>
      </c>
      <c r="G9" s="6">
        <v>0.12609999999999999</v>
      </c>
      <c r="H9" s="6">
        <v>6.0600000000000001E-2</v>
      </c>
      <c r="I9" s="4">
        <v>16.670000000000002</v>
      </c>
      <c r="J9" s="4">
        <v>18.2</v>
      </c>
      <c r="K9" s="4">
        <v>8.8000000000000007</v>
      </c>
      <c r="L9" s="4">
        <v>3.98</v>
      </c>
      <c r="M9" s="4">
        <v>1.08</v>
      </c>
      <c r="N9" s="4">
        <v>10.74</v>
      </c>
      <c r="O9" s="6">
        <v>9.4100000000000003E-2</v>
      </c>
      <c r="P9" s="4">
        <v>3.86</v>
      </c>
      <c r="Q9" s="4">
        <v>3.14</v>
      </c>
      <c r="R9" s="6">
        <v>3.0200000000000001E-2</v>
      </c>
    </row>
    <row r="10" spans="1:18" x14ac:dyDescent="0.2">
      <c r="A10" s="4" t="s">
        <v>82</v>
      </c>
      <c r="B10" s="4" t="s">
        <v>85</v>
      </c>
      <c r="C10" s="4">
        <v>1900</v>
      </c>
      <c r="D10" s="4">
        <v>4320</v>
      </c>
      <c r="E10" s="4">
        <v>79</v>
      </c>
      <c r="F10" s="6">
        <v>8.3799999999999999E-2</v>
      </c>
      <c r="G10" s="6">
        <v>3.6499999999999998E-2</v>
      </c>
      <c r="H10" s="6">
        <v>1.83E-2</v>
      </c>
      <c r="I10" s="4">
        <v>12.95</v>
      </c>
      <c r="J10" s="4">
        <v>24.24</v>
      </c>
      <c r="K10" s="4">
        <v>9.32</v>
      </c>
      <c r="L10" s="4">
        <v>0.94</v>
      </c>
      <c r="M10" s="4">
        <v>0.44</v>
      </c>
      <c r="N10" s="4">
        <v>10.81</v>
      </c>
      <c r="O10" s="6">
        <v>9.1200000000000003E-2</v>
      </c>
      <c r="P10" s="4">
        <v>0.24</v>
      </c>
      <c r="Q10" s="4">
        <v>1.05</v>
      </c>
      <c r="R10" s="6">
        <v>3.0200000000000001E-2</v>
      </c>
    </row>
    <row r="11" spans="1:18" x14ac:dyDescent="0.2">
      <c r="A11" s="4" t="s">
        <v>83</v>
      </c>
      <c r="B11" s="4" t="s">
        <v>85</v>
      </c>
      <c r="C11" s="4">
        <v>1520</v>
      </c>
      <c r="D11" s="4">
        <v>8970</v>
      </c>
      <c r="E11" s="4">
        <v>15</v>
      </c>
      <c r="F11" s="6">
        <v>7.9600000000000004E-2</v>
      </c>
      <c r="G11" s="6">
        <v>2.4799999999999999E-2</v>
      </c>
      <c r="H11" s="6">
        <v>1.6999999999999999E-3</v>
      </c>
      <c r="I11" s="4">
        <v>10.210000000000001</v>
      </c>
      <c r="J11" s="4">
        <v>12.52</v>
      </c>
      <c r="K11" s="4">
        <v>7.95</v>
      </c>
      <c r="L11" s="4">
        <v>1.0900000000000001</v>
      </c>
      <c r="M11" s="4">
        <v>0.17</v>
      </c>
      <c r="N11" s="4">
        <v>63.97</v>
      </c>
      <c r="O11" s="6">
        <v>1.55E-2</v>
      </c>
      <c r="P11" s="4">
        <v>1</v>
      </c>
      <c r="Q11" s="4">
        <v>3.01</v>
      </c>
      <c r="R11" s="6">
        <v>2.1600000000000001E-2</v>
      </c>
    </row>
    <row r="12" spans="1:18" x14ac:dyDescent="0.2">
      <c r="A12" s="4" t="s">
        <v>84</v>
      </c>
      <c r="B12" s="4" t="s">
        <v>86</v>
      </c>
      <c r="C12" s="4">
        <v>2120</v>
      </c>
      <c r="D12" s="4">
        <v>5260</v>
      </c>
      <c r="E12" s="4">
        <v>8</v>
      </c>
      <c r="F12" s="6">
        <v>0.48870000000000002</v>
      </c>
      <c r="G12" s="6">
        <v>6.1600000000000002E-2</v>
      </c>
      <c r="H12" s="6">
        <v>1.5900000000000001E-2</v>
      </c>
      <c r="I12" s="4">
        <v>11.7</v>
      </c>
      <c r="J12" s="4">
        <v>12.47</v>
      </c>
      <c r="K12" s="8">
        <v>6.83</v>
      </c>
      <c r="L12" s="4">
        <v>1.69</v>
      </c>
      <c r="M12" s="4">
        <v>0.47</v>
      </c>
      <c r="N12" s="4">
        <v>7.51</v>
      </c>
      <c r="O12" s="6">
        <v>0.14580000000000001</v>
      </c>
      <c r="P12" s="4">
        <v>2.0699999999999998</v>
      </c>
      <c r="Q12" s="4">
        <v>4.17</v>
      </c>
      <c r="R12" s="9">
        <v>8.7499999999999994E-2</v>
      </c>
    </row>
    <row r="14" spans="1:18" x14ac:dyDescent="0.2">
      <c r="F14" s="13">
        <f>AVERAGE(F2:F12)</f>
        <v>0.22979090909090913</v>
      </c>
      <c r="G14" s="13">
        <f t="shared" ref="G14:N14" si="0">AVERAGE(G2:G12)</f>
        <v>9.2909090909090913E-2</v>
      </c>
      <c r="H14" s="13">
        <f t="shared" si="0"/>
        <v>2.0618181818181817E-2</v>
      </c>
      <c r="I14" s="14">
        <f t="shared" si="0"/>
        <v>14.118181818181819</v>
      </c>
      <c r="J14" s="14">
        <f t="shared" si="0"/>
        <v>29.583636363636366</v>
      </c>
      <c r="K14" s="15">
        <f t="shared" si="0"/>
        <v>11.730909090909091</v>
      </c>
      <c r="L14" s="15">
        <f t="shared" si="0"/>
        <v>4.0809090909090902</v>
      </c>
      <c r="M14" s="15">
        <f t="shared" si="0"/>
        <v>1.1154545454545455</v>
      </c>
      <c r="N14" s="15">
        <f t="shared" si="0"/>
        <v>18.86363636363636</v>
      </c>
    </row>
    <row r="15" spans="1:18" x14ac:dyDescent="0.2">
      <c r="A15" s="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Slides</vt:lpstr>
      <vt:lpstr>Debt</vt:lpstr>
      <vt:lpstr>Peer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Chew</dc:creator>
  <cp:lastModifiedBy>Joey Chew</cp:lastModifiedBy>
  <dcterms:created xsi:type="dcterms:W3CDTF">2025-08-18T16:04:45Z</dcterms:created>
  <dcterms:modified xsi:type="dcterms:W3CDTF">2026-02-26T14:29:42Z</dcterms:modified>
</cp:coreProperties>
</file>