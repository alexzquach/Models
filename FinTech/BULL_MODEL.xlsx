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\Documents\GitHub\Models\FinTech\"/>
    </mc:Choice>
  </mc:AlternateContent>
  <xr:revisionPtr revIDLastSave="0" documentId="13_ncr:1_{202D9D93-EA99-4111-AC4D-1DD5EB58FCC3}" xr6:coauthVersionLast="47" xr6:coauthVersionMax="47" xr10:uidLastSave="{00000000-0000-0000-0000-000000000000}"/>
  <bookViews>
    <workbookView xWindow="-120" yWindow="-120" windowWidth="38640" windowHeight="21120" activeTab="1" xr2:uid="{74C982A1-EE30-4588-AA95-0E58E4E415F0}"/>
  </bookViews>
  <sheets>
    <sheet name="Main" sheetId="1" r:id="rId1"/>
    <sheet name="Model" sheetId="2" r:id="rId2"/>
    <sheet name="Debt" sheetId="9" r:id="rId3"/>
    <sheet name="Peer Comparisons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6" i="2" l="1"/>
  <c r="E56" i="2"/>
  <c r="F56" i="2"/>
  <c r="G56" i="2"/>
  <c r="H56" i="2"/>
  <c r="I56" i="2"/>
  <c r="J56" i="2"/>
  <c r="H38" i="2"/>
  <c r="I38" i="2"/>
  <c r="J38" i="2"/>
  <c r="J24" i="2"/>
  <c r="I35" i="2"/>
  <c r="J34" i="2"/>
  <c r="J17" i="2"/>
  <c r="H37" i="2"/>
  <c r="I37" i="2"/>
  <c r="J37" i="2"/>
  <c r="H35" i="2"/>
  <c r="J35" i="2"/>
  <c r="H34" i="2"/>
  <c r="I34" i="2"/>
  <c r="D25" i="2" l="1"/>
  <c r="E24" i="2"/>
  <c r="F17" i="2"/>
  <c r="G17" i="2"/>
  <c r="D20" i="2"/>
  <c r="E20" i="2"/>
  <c r="F20" i="2"/>
  <c r="G20" i="2"/>
  <c r="D60" i="2"/>
  <c r="D62" i="2" s="1"/>
  <c r="E60" i="2"/>
  <c r="F60" i="2"/>
  <c r="F62" i="2" s="1"/>
  <c r="G60" i="2"/>
  <c r="B6" i="1"/>
  <c r="E17" i="2" l="1"/>
  <c r="D17" i="2"/>
  <c r="G24" i="2"/>
  <c r="F24" i="2"/>
  <c r="D24" i="2"/>
  <c r="G25" i="2"/>
  <c r="F25" i="2"/>
  <c r="E25" i="2"/>
  <c r="G62" i="2"/>
  <c r="E62" i="2"/>
  <c r="H17" i="2"/>
  <c r="I17" i="2"/>
  <c r="K17" i="2"/>
  <c r="L17" i="2"/>
  <c r="M17" i="2"/>
  <c r="J25" i="2" l="1"/>
  <c r="I25" i="2"/>
  <c r="I24" i="2"/>
  <c r="K60" i="2"/>
  <c r="H60" i="2"/>
  <c r="I60" i="2"/>
  <c r="J60" i="2"/>
  <c r="J20" i="2"/>
  <c r="K20" i="2"/>
  <c r="L20" i="2"/>
  <c r="M20" i="2"/>
  <c r="H24" i="2"/>
  <c r="I20" i="2"/>
  <c r="H20" i="2" l="1"/>
  <c r="H25" i="2" l="1"/>
  <c r="H62" i="2"/>
  <c r="B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Quach</author>
  </authors>
  <commentList>
    <comment ref="A8" authorId="0" shapeId="0" xr:uid="{9BF3E320-2C8B-452E-893D-8D9DA8F99FD7}">
      <text>
        <r>
          <rPr>
            <b/>
            <sz val="9"/>
            <color indexed="81"/>
            <rFont val="Tahoma"/>
            <family val="2"/>
          </rPr>
          <t>Alex Quach:</t>
        </r>
        <r>
          <rPr>
            <sz val="9"/>
            <color indexed="81"/>
            <rFont val="Tahoma"/>
            <family val="2"/>
          </rPr>
          <t xml:space="preserve">
Long Term Debt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</author>
  </authors>
  <commentList>
    <comment ref="H18" authorId="0" shapeId="0" xr:uid="{AC62E3B9-9D98-4A7E-993B-809F5C58AE1B}">
      <text>
        <r>
          <rPr>
            <b/>
            <sz val="9"/>
            <color indexed="81"/>
            <rFont val="Tahoma"/>
            <family val="2"/>
          </rPr>
          <t>Alex:</t>
        </r>
        <r>
          <rPr>
            <sz val="9"/>
            <color indexed="81"/>
            <rFont val="Tahoma"/>
            <family val="2"/>
          </rPr>
          <t xml:space="preserve">
Change in fair value of convertible notes and warrants (1492)</t>
        </r>
      </text>
    </comment>
    <comment ref="B42" authorId="0" shapeId="0" xr:uid="{6C60B04B-5225-40A5-A3E7-829326B3B1DB}">
      <text>
        <r>
          <rPr>
            <b/>
            <sz val="9"/>
            <color indexed="81"/>
            <rFont val="Tahoma"/>
            <family val="2"/>
          </rPr>
          <t>Alex:</t>
        </r>
        <r>
          <rPr>
            <sz val="9"/>
            <color indexed="81"/>
            <rFont val="Tahoma"/>
            <family val="2"/>
          </rPr>
          <t xml:space="preserve">
Assets under custody</t>
        </r>
      </text>
    </comment>
  </commentList>
</comments>
</file>

<file path=xl/sharedStrings.xml><?xml version="1.0" encoding="utf-8"?>
<sst xmlns="http://schemas.openxmlformats.org/spreadsheetml/2006/main" count="164" uniqueCount="116">
  <si>
    <t>Price</t>
  </si>
  <si>
    <t>Symbol:</t>
  </si>
  <si>
    <t>Shares Outstanding</t>
  </si>
  <si>
    <t>Market Cap</t>
  </si>
  <si>
    <t>Debt</t>
  </si>
  <si>
    <t>Q12025</t>
  </si>
  <si>
    <t>(In Millions)</t>
  </si>
  <si>
    <t>Enterprise Value</t>
  </si>
  <si>
    <t>Main</t>
  </si>
  <si>
    <t>Revenue</t>
  </si>
  <si>
    <t>Operating Income</t>
  </si>
  <si>
    <t>Net Income</t>
  </si>
  <si>
    <t>FCF</t>
  </si>
  <si>
    <t>Q12024</t>
  </si>
  <si>
    <t>Q22024</t>
  </si>
  <si>
    <t>Q32024</t>
  </si>
  <si>
    <t>Q42024</t>
  </si>
  <si>
    <t>Capital Expendature</t>
  </si>
  <si>
    <t>Cash Flow from Operations</t>
  </si>
  <si>
    <t>Cash + PPE</t>
  </si>
  <si>
    <t>Book Value</t>
  </si>
  <si>
    <t>Q22025</t>
  </si>
  <si>
    <t>Q32025</t>
  </si>
  <si>
    <t>Q42025</t>
  </si>
  <si>
    <t>Cash Per Share</t>
  </si>
  <si>
    <t>Q12026</t>
  </si>
  <si>
    <t>Diluted EPS</t>
  </si>
  <si>
    <t>Basic EPS</t>
  </si>
  <si>
    <t>Cash Flow Growth</t>
  </si>
  <si>
    <t>Guidance</t>
  </si>
  <si>
    <t>(IN MILLIONS)</t>
  </si>
  <si>
    <t>Events</t>
  </si>
  <si>
    <t>Revenue Growth YOY Q</t>
  </si>
  <si>
    <t>Revenue Growth last Q</t>
  </si>
  <si>
    <t>Income Before taxes</t>
  </si>
  <si>
    <t>Tax</t>
  </si>
  <si>
    <t>N/A</t>
  </si>
  <si>
    <t>P/Sales</t>
  </si>
  <si>
    <t>P/Book</t>
  </si>
  <si>
    <t>EV/EBITDA</t>
  </si>
  <si>
    <t>EV/R</t>
  </si>
  <si>
    <t>Trl P/E</t>
  </si>
  <si>
    <t>Fwd P/E</t>
  </si>
  <si>
    <t xml:space="preserve">EBITDA </t>
  </si>
  <si>
    <t>Diluted EPS TTM</t>
  </si>
  <si>
    <t>General and Admin</t>
  </si>
  <si>
    <t>Brokerage and Transaction Expense</t>
  </si>
  <si>
    <t>Tech and Development Expense</t>
  </si>
  <si>
    <t>Marketing</t>
  </si>
  <si>
    <t>EBITDA</t>
  </si>
  <si>
    <t>Net Interest Revenue</t>
  </si>
  <si>
    <t>Net Deposits</t>
  </si>
  <si>
    <t>Robinhood Retirement AUC</t>
  </si>
  <si>
    <t>Retirement AUC Growth</t>
  </si>
  <si>
    <t>Cash Sweep</t>
  </si>
  <si>
    <t>Cash Sweep Growth</t>
  </si>
  <si>
    <t>Margin Book</t>
  </si>
  <si>
    <t>Margin Book Growth</t>
  </si>
  <si>
    <t>Equity Volumes</t>
  </si>
  <si>
    <t>Equity Volumes Growth</t>
  </si>
  <si>
    <t>Options Contracts Traded</t>
  </si>
  <si>
    <t>Options Contracts Growth</t>
  </si>
  <si>
    <t>Robinhood Crypto Volume</t>
  </si>
  <si>
    <t>Crypto Volume Growth</t>
  </si>
  <si>
    <t>Bitstamp Crypto Volume</t>
  </si>
  <si>
    <t>Bistamp Growth</t>
  </si>
  <si>
    <t>Transactions based (TB)</t>
  </si>
  <si>
    <t>TB Options</t>
  </si>
  <si>
    <t>TB Crypto</t>
  </si>
  <si>
    <t>TB Equities</t>
  </si>
  <si>
    <t>Interest</t>
  </si>
  <si>
    <t>Revenue Growth YOY</t>
  </si>
  <si>
    <t>Other (YOY)</t>
  </si>
  <si>
    <t>BULL - Webull Corporation</t>
  </si>
  <si>
    <t>Ticker</t>
  </si>
  <si>
    <t>Company</t>
  </si>
  <si>
    <t>Revenue TTM (B)</t>
  </si>
  <si>
    <t>Trailing P/E</t>
  </si>
  <si>
    <t>Forward P/E</t>
  </si>
  <si>
    <t>BULL</t>
  </si>
  <si>
    <t>Webull</t>
  </si>
  <si>
    <t>HOOD</t>
  </si>
  <si>
    <t>Robinhood</t>
  </si>
  <si>
    <t>IBKR</t>
  </si>
  <si>
    <t>Interactive Brokers</t>
  </si>
  <si>
    <t>SCHW</t>
  </si>
  <si>
    <t>Charles Schwab</t>
  </si>
  <si>
    <t>FUTU</t>
  </si>
  <si>
    <t>Futu Holdings</t>
  </si>
  <si>
    <t>TIGR</t>
  </si>
  <si>
    <t>UP Fintech (Tiger)</t>
  </si>
  <si>
    <t>Price/Sales</t>
  </si>
  <si>
    <t>Price/Book</t>
  </si>
  <si>
    <t>EV/Rev (EV/R)</t>
  </si>
  <si>
    <t>EBITDA TTM (B)</t>
  </si>
  <si>
    <t>n/a</t>
  </si>
  <si>
    <t>Unsecured Promissory notes</t>
  </si>
  <si>
    <t>Lease liabilities</t>
  </si>
  <si>
    <t>implied shares outstanding = 420 Class A + 80 Class B</t>
  </si>
  <si>
    <t>Introduced Corporate Bonds</t>
  </si>
  <si>
    <t>Reintroducing Crypto (50% of new funded accounts are trading crypto)</t>
  </si>
  <si>
    <t>Prediction Markets (30 million prediction contracts</t>
  </si>
  <si>
    <t>Expand into Netherlands, offer US market to korean investors, set to launch in japan</t>
  </si>
  <si>
    <t>Funded Accounts</t>
  </si>
  <si>
    <t>Customer Assets</t>
  </si>
  <si>
    <t>Equity Revenue</t>
  </si>
  <si>
    <t>Option Revenue</t>
  </si>
  <si>
    <t>Transaction Based revenue</t>
  </si>
  <si>
    <t>Options Volume</t>
  </si>
  <si>
    <t>Crypto Revenue</t>
  </si>
  <si>
    <t>WeBull Premium Subscribers (Thousands)</t>
  </si>
  <si>
    <t>Equity Volume (billion)</t>
  </si>
  <si>
    <t>DART (in thousands)</t>
  </si>
  <si>
    <t xml:space="preserve">DART </t>
  </si>
  <si>
    <t>Adjusted Operating Margin</t>
  </si>
  <si>
    <t>Preferred Share Redemption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</si>
</sst>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;@"/>
    <numFmt numFmtId="165" formatCode="#,##0.0"/>
    <numFmt numFmtId="166" formatCode="0.0%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50">
    <xf numFmtId="0" fontId="0" fillId="0" borderId="0" xfId="0"/>
    <xf numFmtId="0" fontId="7" fillId="0" borderId="0" xfId="0" applyFont="1"/>
    <xf numFmtId="14" fontId="7" fillId="0" borderId="0" xfId="0" applyNumberFormat="1" applyFont="1"/>
    <xf numFmtId="3" fontId="8" fillId="2" borderId="0" xfId="0" applyNumberFormat="1" applyFont="1" applyFill="1"/>
    <xf numFmtId="1" fontId="8" fillId="2" borderId="0" xfId="0" applyNumberFormat="1" applyFont="1" applyFill="1"/>
    <xf numFmtId="0" fontId="8" fillId="2" borderId="0" xfId="0" applyFont="1" applyFill="1"/>
    <xf numFmtId="9" fontId="7" fillId="0" borderId="0" xfId="1" applyFont="1"/>
    <xf numFmtId="9" fontId="7" fillId="0" borderId="0" xfId="1" applyFont="1" applyFill="1"/>
    <xf numFmtId="0" fontId="8" fillId="0" borderId="0" xfId="0" applyFont="1"/>
    <xf numFmtId="0" fontId="7" fillId="0" borderId="0" xfId="1" applyNumberFormat="1" applyFont="1"/>
    <xf numFmtId="0" fontId="7" fillId="0" borderId="1" xfId="0" applyFont="1" applyBorder="1"/>
    <xf numFmtId="0" fontId="7" fillId="0" borderId="2" xfId="0" applyFont="1" applyBorder="1"/>
    <xf numFmtId="1" fontId="7" fillId="0" borderId="2" xfId="0" applyNumberFormat="1" applyFont="1" applyBorder="1"/>
    <xf numFmtId="0" fontId="7" fillId="0" borderId="3" xfId="0" applyFont="1" applyBorder="1"/>
    <xf numFmtId="0" fontId="7" fillId="0" borderId="4" xfId="0" applyFont="1" applyBorder="1"/>
    <xf numFmtId="0" fontId="7" fillId="0" borderId="5" xfId="0" applyFont="1" applyBorder="1"/>
    <xf numFmtId="1" fontId="7" fillId="0" borderId="0" xfId="0" applyNumberFormat="1" applyFont="1"/>
    <xf numFmtId="0" fontId="7" fillId="0" borderId="6" xfId="0" applyFont="1" applyBorder="1"/>
    <xf numFmtId="0" fontId="7" fillId="0" borderId="7" xfId="0" applyFont="1" applyBorder="1"/>
    <xf numFmtId="0" fontId="7" fillId="0" borderId="8" xfId="0" applyFont="1" applyBorder="1"/>
    <xf numFmtId="0" fontId="9" fillId="0" borderId="0" xfId="2" applyFont="1"/>
    <xf numFmtId="164" fontId="7" fillId="0" borderId="0" xfId="0" applyNumberFormat="1" applyFont="1"/>
    <xf numFmtId="3" fontId="7" fillId="0" borderId="0" xfId="0" applyNumberFormat="1" applyFont="1"/>
    <xf numFmtId="0" fontId="10" fillId="0" borderId="0" xfId="0" applyFont="1"/>
    <xf numFmtId="4" fontId="7" fillId="0" borderId="0" xfId="0" applyNumberFormat="1" applyFont="1"/>
    <xf numFmtId="3" fontId="8" fillId="0" borderId="0" xfId="0" applyNumberFormat="1" applyFont="1"/>
    <xf numFmtId="0" fontId="11" fillId="0" borderId="0" xfId="0" applyFont="1"/>
    <xf numFmtId="0" fontId="7" fillId="0" borderId="0" xfId="1" applyNumberFormat="1" applyFont="1" applyBorder="1"/>
    <xf numFmtId="9" fontId="7" fillId="3" borderId="0" xfId="1" applyFont="1" applyFill="1"/>
    <xf numFmtId="0" fontId="2" fillId="0" borderId="0" xfId="0" applyFont="1"/>
    <xf numFmtId="0" fontId="1" fillId="0" borderId="0" xfId="0" applyFont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1" fillId="2" borderId="0" xfId="0" applyFont="1" applyFill="1" applyAlignment="1">
      <alignment horizontal="right" vertical="center" wrapText="1"/>
    </xf>
    <xf numFmtId="0" fontId="1" fillId="4" borderId="0" xfId="0" applyFont="1" applyFill="1" applyAlignment="1">
      <alignment horizontal="right" vertical="center" wrapText="1"/>
    </xf>
    <xf numFmtId="3" fontId="1" fillId="0" borderId="0" xfId="0" applyNumberFormat="1" applyFont="1"/>
    <xf numFmtId="9" fontId="1" fillId="3" borderId="0" xfId="1" applyFont="1" applyFill="1"/>
    <xf numFmtId="0" fontId="1" fillId="0" borderId="0" xfId="1" applyNumberFormat="1" applyFont="1"/>
    <xf numFmtId="9" fontId="1" fillId="0" borderId="0" xfId="1" applyFont="1" applyFill="1"/>
    <xf numFmtId="165" fontId="8" fillId="2" borderId="0" xfId="0" applyNumberFormat="1" applyFont="1" applyFill="1"/>
    <xf numFmtId="166" fontId="7" fillId="0" borderId="0" xfId="1" applyNumberFormat="1" applyFont="1"/>
    <xf numFmtId="166" fontId="1" fillId="0" borderId="0" xfId="1" applyNumberFormat="1" applyFont="1"/>
    <xf numFmtId="165" fontId="7" fillId="0" borderId="0" xfId="0" applyNumberFormat="1" applyFont="1"/>
    <xf numFmtId="0" fontId="7" fillId="0" borderId="0" xfId="0" applyFont="1"/>
    <xf numFmtId="0" fontId="7" fillId="0" borderId="5" xfId="0" applyFont="1" applyBorder="1"/>
    <xf numFmtId="0" fontId="10" fillId="4" borderId="0" xfId="0" applyFont="1" applyFill="1"/>
    <xf numFmtId="4" fontId="10" fillId="4" borderId="0" xfId="0" applyNumberFormat="1" applyFont="1" applyFill="1"/>
    <xf numFmtId="9" fontId="7" fillId="5" borderId="0" xfId="1" applyFont="1" applyFill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11C10-986F-41A4-B3DD-2A72A923BC11}">
  <dimension ref="A1:D18"/>
  <sheetViews>
    <sheetView workbookViewId="0">
      <selection activeCell="B6" sqref="B6"/>
    </sheetView>
  </sheetViews>
  <sheetFormatPr defaultRowHeight="14.25" x14ac:dyDescent="0.2"/>
  <cols>
    <col min="1" max="1" width="19.85546875" style="1" bestFit="1" customWidth="1"/>
    <col min="2" max="2" width="19.5703125" style="1" bestFit="1" customWidth="1"/>
    <col min="3" max="3" width="11.5703125" style="1" bestFit="1" customWidth="1"/>
    <col min="4" max="4" width="16.140625" style="1" bestFit="1" customWidth="1"/>
    <col min="5" max="5" width="6.7109375" style="1" bestFit="1" customWidth="1"/>
    <col min="6" max="16384" width="9.140625" style="1"/>
  </cols>
  <sheetData>
    <row r="1" spans="1:4" x14ac:dyDescent="0.2">
      <c r="A1" s="1" t="s">
        <v>1</v>
      </c>
      <c r="B1" s="30" t="s">
        <v>73</v>
      </c>
    </row>
    <row r="3" spans="1:4" x14ac:dyDescent="0.2">
      <c r="A3" s="1" t="s">
        <v>6</v>
      </c>
    </row>
    <row r="4" spans="1:4" x14ac:dyDescent="0.2">
      <c r="A4" s="1" t="s">
        <v>0</v>
      </c>
      <c r="B4" s="1">
        <v>7.8</v>
      </c>
      <c r="C4" s="2">
        <v>45982</v>
      </c>
    </row>
    <row r="5" spans="1:4" x14ac:dyDescent="0.2">
      <c r="A5" s="1" t="s">
        <v>2</v>
      </c>
      <c r="B5" s="1">
        <v>502</v>
      </c>
      <c r="C5" s="29" t="s">
        <v>22</v>
      </c>
      <c r="D5" s="30" t="s">
        <v>98</v>
      </c>
    </row>
    <row r="6" spans="1:4" x14ac:dyDescent="0.2">
      <c r="A6" s="1" t="s">
        <v>3</v>
      </c>
      <c r="B6" s="1">
        <f xml:space="preserve"> B4 * B5</f>
        <v>3915.6</v>
      </c>
    </row>
    <row r="7" spans="1:4" x14ac:dyDescent="0.2">
      <c r="A7" s="1" t="s">
        <v>19</v>
      </c>
      <c r="B7" s="1">
        <v>1400</v>
      </c>
    </row>
    <row r="8" spans="1:4" x14ac:dyDescent="0.2">
      <c r="A8" s="1" t="s">
        <v>4</v>
      </c>
      <c r="B8" s="1">
        <v>112</v>
      </c>
      <c r="D8" s="1" t="s">
        <v>24</v>
      </c>
    </row>
    <row r="9" spans="1:4" x14ac:dyDescent="0.2">
      <c r="A9" s="1" t="s">
        <v>7</v>
      </c>
      <c r="B9" s="1">
        <f>B6 - B7 + B8</f>
        <v>2627.6</v>
      </c>
      <c r="D9" s="1" t="s">
        <v>20</v>
      </c>
    </row>
    <row r="11" spans="1:4" x14ac:dyDescent="0.2">
      <c r="A11" s="1" t="s">
        <v>37</v>
      </c>
      <c r="B11" s="1">
        <v>8.65</v>
      </c>
    </row>
    <row r="12" spans="1:4" x14ac:dyDescent="0.2">
      <c r="A12" s="1" t="s">
        <v>38</v>
      </c>
      <c r="B12" s="1">
        <v>5.41</v>
      </c>
    </row>
    <row r="13" spans="1:4" x14ac:dyDescent="0.2">
      <c r="A13" s="1" t="s">
        <v>39</v>
      </c>
      <c r="B13" s="1">
        <v>151.36000000000001</v>
      </c>
    </row>
    <row r="14" spans="1:4" x14ac:dyDescent="0.2">
      <c r="A14" s="1" t="s">
        <v>40</v>
      </c>
      <c r="B14" s="1">
        <v>7.76</v>
      </c>
    </row>
    <row r="15" spans="1:4" x14ac:dyDescent="0.2">
      <c r="A15" s="1" t="s">
        <v>41</v>
      </c>
      <c r="B15" s="1">
        <v>53</v>
      </c>
    </row>
    <row r="16" spans="1:4" x14ac:dyDescent="0.2">
      <c r="A16" s="1" t="s">
        <v>42</v>
      </c>
      <c r="B16" s="1">
        <v>48</v>
      </c>
    </row>
    <row r="17" spans="1:1" x14ac:dyDescent="0.2">
      <c r="A17" s="1" t="s">
        <v>43</v>
      </c>
    </row>
    <row r="18" spans="1:1" x14ac:dyDescent="0.2">
      <c r="A18" s="1" t="s">
        <v>44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38C8F-3B6A-4584-925C-61BD108C4B76}">
  <dimension ref="A1:R107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M58" sqref="M58"/>
    </sheetView>
  </sheetViews>
  <sheetFormatPr defaultRowHeight="14.25" outlineLevelRow="1" x14ac:dyDescent="0.2"/>
  <cols>
    <col min="1" max="1" width="28.28515625" style="1" bestFit="1" customWidth="1"/>
    <col min="2" max="2" width="42.28515625" style="1" bestFit="1" customWidth="1"/>
    <col min="3" max="3" width="9.140625" style="1"/>
    <col min="4" max="5" width="13.140625" style="1" customWidth="1"/>
    <col min="6" max="6" width="18.85546875" style="1" customWidth="1"/>
    <col min="7" max="7" width="14.85546875" style="1" customWidth="1"/>
    <col min="8" max="8" width="15" style="1" customWidth="1"/>
    <col min="9" max="9" width="11.28515625" style="1" bestFit="1" customWidth="1"/>
    <col min="10" max="10" width="9.28515625" style="1" bestFit="1" customWidth="1"/>
    <col min="11" max="11" width="9.5703125" style="1" bestFit="1" customWidth="1"/>
    <col min="12" max="16384" width="9.140625" style="1"/>
  </cols>
  <sheetData>
    <row r="1" spans="1:12" x14ac:dyDescent="0.2">
      <c r="A1" s="20" t="s">
        <v>8</v>
      </c>
      <c r="B1" s="1" t="s">
        <v>30</v>
      </c>
    </row>
    <row r="2" spans="1:12" x14ac:dyDescent="0.2">
      <c r="A2" s="21"/>
      <c r="B2" s="21"/>
      <c r="C2" s="21"/>
      <c r="D2" s="21" t="s">
        <v>13</v>
      </c>
      <c r="E2" s="21" t="s">
        <v>14</v>
      </c>
      <c r="F2" s="21" t="s">
        <v>15</v>
      </c>
      <c r="G2" s="21" t="s">
        <v>16</v>
      </c>
      <c r="H2" s="21" t="s">
        <v>5</v>
      </c>
      <c r="I2" s="21" t="s">
        <v>21</v>
      </c>
      <c r="J2" s="21" t="s">
        <v>22</v>
      </c>
      <c r="K2" s="21" t="s">
        <v>23</v>
      </c>
      <c r="L2" s="21" t="s">
        <v>25</v>
      </c>
    </row>
    <row r="3" spans="1:12" x14ac:dyDescent="0.2">
      <c r="A3" s="22"/>
      <c r="B3" s="30" t="s">
        <v>107</v>
      </c>
      <c r="C3" s="22"/>
      <c r="D3" s="1">
        <v>53.6</v>
      </c>
      <c r="E3" s="1">
        <v>54.5</v>
      </c>
      <c r="F3" s="1">
        <v>65.900000000000006</v>
      </c>
      <c r="G3" s="1">
        <v>72.099999999999994</v>
      </c>
      <c r="H3" s="1">
        <v>81.7</v>
      </c>
      <c r="I3" s="1">
        <v>88.8</v>
      </c>
      <c r="J3" s="1">
        <v>107.8</v>
      </c>
    </row>
    <row r="4" spans="1:12" x14ac:dyDescent="0.2">
      <c r="B4" s="30" t="s">
        <v>50</v>
      </c>
      <c r="D4" s="1">
        <v>32.5</v>
      </c>
      <c r="E4" s="1">
        <v>31.9</v>
      </c>
      <c r="F4" s="1">
        <v>32.9</v>
      </c>
      <c r="G4" s="1">
        <v>33.200000000000003</v>
      </c>
      <c r="H4" s="1">
        <v>31.1</v>
      </c>
      <c r="I4" s="1">
        <v>36.299999999999997</v>
      </c>
      <c r="J4" s="1">
        <v>43.4</v>
      </c>
    </row>
    <row r="5" spans="1:12" x14ac:dyDescent="0.2">
      <c r="B5" s="30" t="s">
        <v>51</v>
      </c>
      <c r="D5" s="1">
        <v>635</v>
      </c>
      <c r="E5" s="1">
        <v>1047</v>
      </c>
      <c r="F5" s="1">
        <v>1629</v>
      </c>
      <c r="G5" s="1">
        <v>1230</v>
      </c>
      <c r="H5" s="1">
        <v>1054</v>
      </c>
      <c r="I5" s="1">
        <v>1500</v>
      </c>
      <c r="J5" s="1">
        <v>2100</v>
      </c>
    </row>
    <row r="6" spans="1:12" x14ac:dyDescent="0.2">
      <c r="B6" s="37" t="s">
        <v>110</v>
      </c>
      <c r="D6" s="30" t="s">
        <v>36</v>
      </c>
      <c r="E6" s="30" t="s">
        <v>36</v>
      </c>
      <c r="F6" s="30" t="s">
        <v>36</v>
      </c>
      <c r="G6" s="30" t="s">
        <v>36</v>
      </c>
      <c r="H6" s="30" t="s">
        <v>36</v>
      </c>
      <c r="I6" s="1">
        <v>75</v>
      </c>
      <c r="J6" s="1">
        <v>90</v>
      </c>
    </row>
    <row r="7" spans="1:12" x14ac:dyDescent="0.2">
      <c r="B7" s="30" t="s">
        <v>103</v>
      </c>
      <c r="D7" s="1">
        <v>4.3</v>
      </c>
      <c r="E7" s="1">
        <v>4.3499999999999996</v>
      </c>
      <c r="F7" s="1">
        <v>4.51</v>
      </c>
      <c r="G7" s="1">
        <v>4.66</v>
      </c>
      <c r="H7" s="1">
        <v>4.72</v>
      </c>
      <c r="I7" s="1">
        <v>4.7300000000000004</v>
      </c>
      <c r="J7" s="1">
        <v>4.93</v>
      </c>
    </row>
    <row r="8" spans="1:12" x14ac:dyDescent="0.2">
      <c r="B8" s="30" t="s">
        <v>104</v>
      </c>
      <c r="D8" s="1">
        <v>8700</v>
      </c>
      <c r="E8" s="1">
        <v>9700</v>
      </c>
      <c r="F8" s="1">
        <v>11500</v>
      </c>
      <c r="G8" s="1">
        <v>13600</v>
      </c>
      <c r="H8" s="1">
        <v>12600</v>
      </c>
      <c r="I8" s="1">
        <v>15900</v>
      </c>
      <c r="J8" s="1">
        <v>21200</v>
      </c>
    </row>
    <row r="9" spans="1:12" x14ac:dyDescent="0.2">
      <c r="B9" s="30" t="s">
        <v>111</v>
      </c>
      <c r="D9" s="1">
        <v>112</v>
      </c>
      <c r="E9" s="1">
        <v>102</v>
      </c>
      <c r="F9" s="1">
        <v>119</v>
      </c>
      <c r="G9" s="1">
        <v>128</v>
      </c>
      <c r="H9" s="1">
        <v>128</v>
      </c>
      <c r="I9" s="1">
        <v>161</v>
      </c>
      <c r="J9" s="1">
        <v>204</v>
      </c>
    </row>
    <row r="10" spans="1:12" x14ac:dyDescent="0.2">
      <c r="B10" s="30" t="s">
        <v>108</v>
      </c>
      <c r="D10" s="1">
        <v>112</v>
      </c>
      <c r="E10" s="1">
        <v>118</v>
      </c>
      <c r="F10" s="1">
        <v>119</v>
      </c>
      <c r="G10" s="1">
        <v>112</v>
      </c>
      <c r="H10" s="1">
        <v>121</v>
      </c>
      <c r="I10" s="1">
        <v>127</v>
      </c>
      <c r="J10" s="1">
        <v>147</v>
      </c>
    </row>
    <row r="11" spans="1:12" x14ac:dyDescent="0.2">
      <c r="A11" s="22"/>
      <c r="B11" s="30"/>
      <c r="C11" s="22"/>
    </row>
    <row r="12" spans="1:12" s="5" customFormat="1" ht="15" x14ac:dyDescent="0.25">
      <c r="A12" s="3"/>
      <c r="B12" s="3" t="s">
        <v>9</v>
      </c>
      <c r="C12" s="3"/>
      <c r="D12" s="3">
        <v>88.9</v>
      </c>
      <c r="E12" s="41">
        <v>90.1</v>
      </c>
      <c r="F12" s="41">
        <v>101.1</v>
      </c>
      <c r="G12" s="41">
        <v>110.1</v>
      </c>
      <c r="H12" s="41">
        <v>117.4</v>
      </c>
      <c r="I12" s="41">
        <v>131.5</v>
      </c>
      <c r="J12" s="41">
        <v>156.9</v>
      </c>
      <c r="K12" s="4"/>
    </row>
    <row r="13" spans="1:12" s="44" customFormat="1" x14ac:dyDescent="0.2">
      <c r="B13" s="44" t="s">
        <v>46</v>
      </c>
      <c r="D13" s="44">
        <v>17.899999999999999</v>
      </c>
      <c r="E13" s="44">
        <v>18.899999999999999</v>
      </c>
      <c r="F13" s="44">
        <v>19.899999999999999</v>
      </c>
      <c r="G13" s="44">
        <v>22.6</v>
      </c>
      <c r="H13" s="44">
        <v>23.2</v>
      </c>
      <c r="I13" s="44">
        <v>34.799999999999997</v>
      </c>
      <c r="J13" s="44">
        <v>35.6</v>
      </c>
    </row>
    <row r="14" spans="1:12" x14ac:dyDescent="0.2">
      <c r="A14" s="22"/>
      <c r="B14" s="1" t="s">
        <v>47</v>
      </c>
      <c r="C14" s="22"/>
      <c r="D14" s="23">
        <v>14.9</v>
      </c>
      <c r="E14" s="23">
        <v>15</v>
      </c>
      <c r="F14" s="23">
        <v>16.399999999999999</v>
      </c>
      <c r="G14" s="23">
        <v>17.5</v>
      </c>
      <c r="H14" s="1">
        <v>16.899999999999999</v>
      </c>
      <c r="I14" s="23">
        <v>19.100000000000001</v>
      </c>
      <c r="J14" s="1">
        <v>22.5</v>
      </c>
    </row>
    <row r="15" spans="1:12" x14ac:dyDescent="0.2">
      <c r="A15" s="22"/>
      <c r="B15" s="1" t="s">
        <v>48</v>
      </c>
      <c r="C15" s="22"/>
      <c r="D15" s="23">
        <v>34</v>
      </c>
      <c r="E15" s="23">
        <v>33.200000000000003</v>
      </c>
      <c r="F15" s="23">
        <v>48.1</v>
      </c>
      <c r="G15" s="23">
        <v>23.4</v>
      </c>
      <c r="H15" s="1">
        <v>23</v>
      </c>
      <c r="I15" s="23">
        <v>30.3</v>
      </c>
      <c r="J15" s="1">
        <v>29.4</v>
      </c>
    </row>
    <row r="16" spans="1:12" x14ac:dyDescent="0.2">
      <c r="A16" s="22"/>
      <c r="B16" s="1" t="s">
        <v>45</v>
      </c>
      <c r="C16" s="22"/>
      <c r="D16" s="23">
        <v>31.9</v>
      </c>
      <c r="E16" s="23">
        <v>31.7</v>
      </c>
      <c r="F16" s="23">
        <v>27.4</v>
      </c>
      <c r="G16" s="23">
        <v>31.7</v>
      </c>
      <c r="H16" s="1">
        <v>33.700000000000003</v>
      </c>
      <c r="I16" s="23">
        <v>51</v>
      </c>
      <c r="J16" s="1">
        <v>45</v>
      </c>
    </row>
    <row r="17" spans="1:14" s="5" customFormat="1" ht="15" x14ac:dyDescent="0.25">
      <c r="A17" s="3"/>
      <c r="B17" s="3" t="s">
        <v>10</v>
      </c>
      <c r="D17" s="4">
        <f t="shared" ref="D17:M17" si="0">D12-SUM(D13:D16)</f>
        <v>-9.7999999999999829</v>
      </c>
      <c r="E17" s="4">
        <f t="shared" si="0"/>
        <v>-8.7000000000000028</v>
      </c>
      <c r="F17" s="4">
        <f t="shared" si="0"/>
        <v>-10.700000000000017</v>
      </c>
      <c r="G17" s="4">
        <f t="shared" si="0"/>
        <v>14.899999999999991</v>
      </c>
      <c r="H17" s="4">
        <f t="shared" si="0"/>
        <v>20.600000000000009</v>
      </c>
      <c r="I17" s="4">
        <f t="shared" si="0"/>
        <v>-3.6999999999999886</v>
      </c>
      <c r="J17" s="4">
        <f t="shared" si="0"/>
        <v>24.400000000000006</v>
      </c>
      <c r="K17" s="4">
        <f t="shared" si="0"/>
        <v>0</v>
      </c>
      <c r="L17" s="4">
        <f t="shared" si="0"/>
        <v>0</v>
      </c>
      <c r="M17" s="4">
        <f t="shared" si="0"/>
        <v>0</v>
      </c>
    </row>
    <row r="18" spans="1:14" x14ac:dyDescent="0.2">
      <c r="B18" s="1" t="s">
        <v>34</v>
      </c>
      <c r="D18" s="23">
        <v>-12.5</v>
      </c>
      <c r="E18" s="23">
        <v>-11.7</v>
      </c>
      <c r="F18" s="23">
        <v>-9.5</v>
      </c>
      <c r="H18" s="1">
        <v>19.5</v>
      </c>
      <c r="I18" s="1">
        <v>-28.4</v>
      </c>
      <c r="J18" s="1">
        <v>39</v>
      </c>
    </row>
    <row r="19" spans="1:14" x14ac:dyDescent="0.2">
      <c r="B19" s="1" t="s">
        <v>35</v>
      </c>
      <c r="D19" s="23">
        <v>-0.01</v>
      </c>
      <c r="E19" s="1">
        <v>-0.01</v>
      </c>
      <c r="F19" s="23">
        <v>-0.1</v>
      </c>
      <c r="H19" s="1">
        <v>6.5</v>
      </c>
      <c r="I19" s="1">
        <v>-0.1</v>
      </c>
      <c r="J19" s="1">
        <v>2</v>
      </c>
    </row>
    <row r="20" spans="1:14" s="5" customFormat="1" ht="15" x14ac:dyDescent="0.25">
      <c r="B20" s="5" t="s">
        <v>11</v>
      </c>
      <c r="D20" s="5">
        <f t="shared" ref="D20:G20" si="1">D18-D19</f>
        <v>-12.49</v>
      </c>
      <c r="E20" s="5">
        <f t="shared" si="1"/>
        <v>-11.69</v>
      </c>
      <c r="F20" s="5">
        <f t="shared" si="1"/>
        <v>-9.4</v>
      </c>
      <c r="G20" s="5">
        <f t="shared" si="1"/>
        <v>0</v>
      </c>
      <c r="H20" s="5">
        <f t="shared" ref="H20:M20" si="2">H18-H19</f>
        <v>13</v>
      </c>
      <c r="I20" s="5">
        <f t="shared" si="2"/>
        <v>-28.299999999999997</v>
      </c>
      <c r="J20" s="5">
        <f t="shared" si="2"/>
        <v>37</v>
      </c>
      <c r="K20" s="5">
        <f t="shared" si="2"/>
        <v>0</v>
      </c>
      <c r="L20" s="5">
        <f t="shared" si="2"/>
        <v>0</v>
      </c>
      <c r="M20" s="5">
        <f t="shared" si="2"/>
        <v>0</v>
      </c>
    </row>
    <row r="21" spans="1:14" x14ac:dyDescent="0.2">
      <c r="A21" s="47" t="s">
        <v>115</v>
      </c>
      <c r="B21" s="1" t="s">
        <v>27</v>
      </c>
      <c r="C21" s="24"/>
      <c r="D21" s="48">
        <v>-7.98</v>
      </c>
      <c r="E21" s="24">
        <v>-0.16</v>
      </c>
      <c r="F21" s="24">
        <v>4.5199999999999996</v>
      </c>
      <c r="G21" s="24"/>
      <c r="H21" s="47">
        <v>-0.06</v>
      </c>
      <c r="I21" s="1">
        <v>-1.2</v>
      </c>
      <c r="J21" s="1">
        <v>0.08</v>
      </c>
    </row>
    <row r="22" spans="1:14" x14ac:dyDescent="0.2">
      <c r="B22" s="1" t="s">
        <v>26</v>
      </c>
      <c r="D22" s="47">
        <v>-7.98</v>
      </c>
      <c r="E22" s="23">
        <v>-0.16</v>
      </c>
      <c r="F22" s="23">
        <v>-0.02</v>
      </c>
      <c r="H22" s="47">
        <v>-0.06</v>
      </c>
      <c r="I22" s="1">
        <v>-1.2</v>
      </c>
      <c r="J22" s="1">
        <v>7.0000000000000007E-2</v>
      </c>
    </row>
    <row r="24" spans="1:14" x14ac:dyDescent="0.2">
      <c r="B24" s="1" t="s">
        <v>32</v>
      </c>
      <c r="D24" s="6" t="e">
        <f>(D12/#REF!) - 1</f>
        <v>#REF!</v>
      </c>
      <c r="E24" s="6" t="e">
        <f>(E12/#REF!) - 1</f>
        <v>#REF!</v>
      </c>
      <c r="F24" s="6" t="e">
        <f>(F12/#REF!) - 1</f>
        <v>#REF!</v>
      </c>
      <c r="G24" s="6" t="e">
        <f>(G12/#REF!) - 1</f>
        <v>#REF!</v>
      </c>
      <c r="H24" s="6">
        <f>(H12/D12) - 1</f>
        <v>0.32058492688413942</v>
      </c>
      <c r="I24" s="6">
        <f>(I12/E12) - 1</f>
        <v>0.45948945615982262</v>
      </c>
      <c r="J24" s="6">
        <f>(J12/F12) - 1</f>
        <v>0.5519287833827895</v>
      </c>
      <c r="K24" s="6"/>
      <c r="L24" s="6"/>
      <c r="M24" s="6"/>
      <c r="N24" s="6"/>
    </row>
    <row r="25" spans="1:14" x14ac:dyDescent="0.2">
      <c r="B25" s="1" t="s">
        <v>33</v>
      </c>
      <c r="D25" s="6" t="e">
        <f xml:space="preserve"> (D12/#REF!) - 1</f>
        <v>#REF!</v>
      </c>
      <c r="E25" s="6">
        <f t="shared" ref="E25:J25" si="3" xml:space="preserve"> (E12/D12) - 1</f>
        <v>1.3498312710910954E-2</v>
      </c>
      <c r="F25" s="6">
        <f t="shared" si="3"/>
        <v>0.12208657047724758</v>
      </c>
      <c r="G25" s="6">
        <f t="shared" si="3"/>
        <v>8.9020771513353081E-2</v>
      </c>
      <c r="H25" s="6">
        <f t="shared" si="3"/>
        <v>6.6303360581289938E-2</v>
      </c>
      <c r="I25" s="6">
        <f t="shared" si="3"/>
        <v>0.12010221465076665</v>
      </c>
      <c r="J25" s="6">
        <f t="shared" si="3"/>
        <v>0.19315589353612173</v>
      </c>
      <c r="K25" s="6"/>
      <c r="L25" s="6"/>
      <c r="M25" s="6"/>
      <c r="N25" s="6"/>
    </row>
    <row r="26" spans="1:14" x14ac:dyDescent="0.2">
      <c r="D26" s="7"/>
      <c r="E26" s="7"/>
      <c r="F26" s="7"/>
      <c r="G26" s="7"/>
      <c r="H26" s="6"/>
    </row>
    <row r="27" spans="1:14" s="42" customFormat="1" x14ac:dyDescent="0.2">
      <c r="B27" s="43" t="s">
        <v>114</v>
      </c>
      <c r="D27" s="42">
        <v>2.5999999999999999E-2</v>
      </c>
      <c r="E27" s="42">
        <v>-3.0000000000000001E-3</v>
      </c>
      <c r="F27" s="42">
        <v>-5.2999999999999999E-2</v>
      </c>
      <c r="G27" s="42">
        <v>0.19600000000000001</v>
      </c>
      <c r="H27" s="42">
        <v>0.24399999999999999</v>
      </c>
      <c r="I27" s="42">
        <v>0.17699999999999999</v>
      </c>
      <c r="J27" s="42">
        <v>0.23400000000000001</v>
      </c>
    </row>
    <row r="28" spans="1:14" s="9" customFormat="1" x14ac:dyDescent="0.2">
      <c r="B28" s="9" t="s">
        <v>49</v>
      </c>
    </row>
    <row r="29" spans="1:14" s="9" customFormat="1" x14ac:dyDescent="0.2">
      <c r="B29" s="39" t="s">
        <v>105</v>
      </c>
      <c r="D29" s="9">
        <v>14</v>
      </c>
      <c r="E29" s="9">
        <v>13.1</v>
      </c>
      <c r="F29" s="9">
        <v>16.2</v>
      </c>
      <c r="G29" s="9">
        <v>18.100000000000001</v>
      </c>
      <c r="H29" s="9">
        <v>18.8</v>
      </c>
      <c r="I29" s="9">
        <v>19.600000000000001</v>
      </c>
      <c r="J29" s="9">
        <v>27.6</v>
      </c>
    </row>
    <row r="30" spans="1:14" s="9" customFormat="1" x14ac:dyDescent="0.2">
      <c r="B30" s="39" t="s">
        <v>106</v>
      </c>
      <c r="D30" s="9">
        <v>37.299999999999997</v>
      </c>
      <c r="E30" s="9">
        <v>36.799999999999997</v>
      </c>
      <c r="F30" s="9">
        <v>42.6</v>
      </c>
      <c r="G30" s="9">
        <v>47.3</v>
      </c>
      <c r="H30" s="9">
        <v>53.4</v>
      </c>
      <c r="I30" s="9">
        <v>56.2</v>
      </c>
      <c r="J30" s="9">
        <v>65</v>
      </c>
    </row>
    <row r="31" spans="1:14" s="9" customFormat="1" x14ac:dyDescent="0.2">
      <c r="B31" s="39" t="s">
        <v>109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4" s="9" customFormat="1" x14ac:dyDescent="0.2">
      <c r="B32" s="39" t="s">
        <v>112</v>
      </c>
      <c r="D32" s="9">
        <v>640</v>
      </c>
      <c r="E32" s="9">
        <v>646</v>
      </c>
      <c r="F32" s="9">
        <v>707</v>
      </c>
      <c r="G32" s="9">
        <v>778</v>
      </c>
      <c r="H32" s="9">
        <v>924</v>
      </c>
      <c r="I32" s="9">
        <v>1008</v>
      </c>
      <c r="J32" s="9">
        <v>1101</v>
      </c>
    </row>
    <row r="33" spans="1:10" s="9" customFormat="1" x14ac:dyDescent="0.2">
      <c r="A33" s="9" t="s">
        <v>71</v>
      </c>
    </row>
    <row r="34" spans="1:10" s="28" customFormat="1" outlineLevel="1" x14ac:dyDescent="0.2">
      <c r="B34" s="28" t="s">
        <v>66</v>
      </c>
      <c r="D34" s="38" t="s">
        <v>36</v>
      </c>
      <c r="E34" s="38" t="s">
        <v>36</v>
      </c>
      <c r="F34" s="38" t="s">
        <v>36</v>
      </c>
      <c r="G34" s="38" t="s">
        <v>36</v>
      </c>
      <c r="H34" s="49">
        <f>(H3/D3) - 1</f>
        <v>0.52425373134328357</v>
      </c>
      <c r="I34" s="49">
        <f>(I3/E3) - 1</f>
        <v>0.62935779816513748</v>
      </c>
      <c r="J34" s="49">
        <f>(J3/F3) - 1</f>
        <v>0.63581183611532599</v>
      </c>
    </row>
    <row r="35" spans="1:10" s="28" customFormat="1" outlineLevel="1" x14ac:dyDescent="0.2">
      <c r="B35" s="28" t="s">
        <v>67</v>
      </c>
      <c r="D35" s="38" t="s">
        <v>36</v>
      </c>
      <c r="E35" s="38" t="s">
        <v>36</v>
      </c>
      <c r="F35" s="38" t="s">
        <v>36</v>
      </c>
      <c r="G35" s="38" t="s">
        <v>36</v>
      </c>
      <c r="H35" s="49">
        <f t="shared" ref="H35" si="4">(H30/D30) - 1</f>
        <v>0.43163538873994645</v>
      </c>
      <c r="I35" s="49">
        <f>(I30/E30) - 1</f>
        <v>0.52717391304347849</v>
      </c>
      <c r="J35" s="49">
        <f>(J30/F30) - 1</f>
        <v>0.5258215962441315</v>
      </c>
    </row>
    <row r="36" spans="1:10" s="7" customFormat="1" outlineLevel="1" x14ac:dyDescent="0.2">
      <c r="B36" s="7" t="s">
        <v>68</v>
      </c>
      <c r="D36" s="40" t="s">
        <v>36</v>
      </c>
      <c r="E36" s="40" t="s">
        <v>36</v>
      </c>
      <c r="F36" s="40" t="s">
        <v>36</v>
      </c>
      <c r="G36" s="40" t="s">
        <v>36</v>
      </c>
      <c r="H36" s="40" t="s">
        <v>36</v>
      </c>
      <c r="I36" s="40" t="s">
        <v>36</v>
      </c>
      <c r="J36" s="40" t="s">
        <v>36</v>
      </c>
    </row>
    <row r="37" spans="1:10" s="28" customFormat="1" outlineLevel="1" x14ac:dyDescent="0.2">
      <c r="B37" s="28" t="s">
        <v>69</v>
      </c>
      <c r="D37" s="38" t="s">
        <v>36</v>
      </c>
      <c r="E37" s="38" t="s">
        <v>36</v>
      </c>
      <c r="F37" s="38" t="s">
        <v>36</v>
      </c>
      <c r="G37" s="38" t="s">
        <v>36</v>
      </c>
      <c r="H37" s="49">
        <f t="shared" ref="H37:I37" si="5">(H29/D29) - 1</f>
        <v>0.34285714285714297</v>
      </c>
      <c r="I37" s="49">
        <f t="shared" si="5"/>
        <v>0.49618320610687028</v>
      </c>
      <c r="J37" s="49">
        <f>(J29/F29) - 1</f>
        <v>0.70370370370370394</v>
      </c>
    </row>
    <row r="38" spans="1:10" s="28" customFormat="1" outlineLevel="1" x14ac:dyDescent="0.2">
      <c r="B38" s="28" t="s">
        <v>70</v>
      </c>
      <c r="D38" s="38" t="s">
        <v>36</v>
      </c>
      <c r="E38" s="38" t="s">
        <v>36</v>
      </c>
      <c r="F38" s="38" t="s">
        <v>36</v>
      </c>
      <c r="G38" s="38" t="s">
        <v>36</v>
      </c>
      <c r="H38" s="28">
        <f t="shared" ref="H38:I38" si="6">(H4/D4) - 1</f>
        <v>-4.3076923076923013E-2</v>
      </c>
      <c r="I38" s="28">
        <f t="shared" si="6"/>
        <v>0.13793103448275867</v>
      </c>
      <c r="J38" s="28">
        <f>(J4/F4) - 1</f>
        <v>0.31914893617021267</v>
      </c>
    </row>
    <row r="39" spans="1:10" s="28" customFormat="1" outlineLevel="1" x14ac:dyDescent="0.2">
      <c r="B39" s="38"/>
      <c r="D39" s="38"/>
      <c r="E39" s="38"/>
      <c r="F39" s="38"/>
      <c r="G39" s="38"/>
    </row>
    <row r="40" spans="1:10" s="9" customFormat="1" x14ac:dyDescent="0.2">
      <c r="B40" s="27"/>
    </row>
    <row r="41" spans="1:10" s="9" customFormat="1" x14ac:dyDescent="0.2">
      <c r="A41" s="9" t="s">
        <v>72</v>
      </c>
    </row>
    <row r="42" spans="1:10" hidden="1" outlineLevel="1" x14ac:dyDescent="0.2">
      <c r="B42" s="1" t="s">
        <v>52</v>
      </c>
      <c r="D42" s="1">
        <v>4200</v>
      </c>
      <c r="E42" s="1">
        <v>8700</v>
      </c>
      <c r="F42" s="1">
        <v>9900</v>
      </c>
      <c r="G42" s="1">
        <v>13100</v>
      </c>
      <c r="H42" s="1">
        <v>14400</v>
      </c>
      <c r="I42" s="1">
        <v>19000</v>
      </c>
    </row>
    <row r="43" spans="1:10" s="28" customFormat="1" hidden="1" outlineLevel="1" x14ac:dyDescent="0.2">
      <c r="B43" s="28" t="s">
        <v>53</v>
      </c>
      <c r="D43" s="28">
        <v>10</v>
      </c>
      <c r="E43" s="28">
        <v>10</v>
      </c>
      <c r="F43" s="28">
        <v>8</v>
      </c>
      <c r="G43" s="28">
        <v>6</v>
      </c>
      <c r="H43" s="28">
        <v>2</v>
      </c>
      <c r="I43" s="28">
        <v>1.18</v>
      </c>
    </row>
    <row r="44" spans="1:10" hidden="1" outlineLevel="1" x14ac:dyDescent="0.2">
      <c r="B44" s="1" t="s">
        <v>54</v>
      </c>
      <c r="D44" s="1">
        <v>19000</v>
      </c>
      <c r="E44" s="1">
        <v>20900</v>
      </c>
      <c r="F44" s="1">
        <v>24500</v>
      </c>
      <c r="G44" s="1">
        <v>26100</v>
      </c>
      <c r="H44" s="1">
        <v>28200</v>
      </c>
      <c r="I44" s="1">
        <v>32700</v>
      </c>
    </row>
    <row r="45" spans="1:10" s="28" customFormat="1" hidden="1" outlineLevel="1" x14ac:dyDescent="0.2">
      <c r="B45" s="28" t="s">
        <v>55</v>
      </c>
      <c r="D45" s="28">
        <v>1.1299999999999999</v>
      </c>
      <c r="E45" s="28">
        <v>0.76</v>
      </c>
      <c r="F45" s="28">
        <v>0.8</v>
      </c>
      <c r="G45" s="28">
        <v>0.59</v>
      </c>
      <c r="H45" s="28">
        <v>0.48</v>
      </c>
      <c r="I45" s="28">
        <v>0.56000000000000005</v>
      </c>
    </row>
    <row r="46" spans="1:10" hidden="1" outlineLevel="1" x14ac:dyDescent="0.2">
      <c r="B46" s="1" t="s">
        <v>56</v>
      </c>
      <c r="D46" s="1">
        <v>4100</v>
      </c>
      <c r="E46" s="1">
        <v>5000</v>
      </c>
      <c r="F46" s="1">
        <v>5500</v>
      </c>
      <c r="G46" s="1">
        <v>7900</v>
      </c>
      <c r="H46" s="1">
        <v>8800</v>
      </c>
      <c r="I46" s="1">
        <v>9500</v>
      </c>
    </row>
    <row r="47" spans="1:10" s="28" customFormat="1" hidden="1" outlineLevel="1" x14ac:dyDescent="0.2">
      <c r="B47" s="28" t="s">
        <v>57</v>
      </c>
      <c r="D47" s="28">
        <v>0.32</v>
      </c>
      <c r="E47" s="28">
        <v>0.52</v>
      </c>
      <c r="F47" s="28">
        <v>0.53</v>
      </c>
      <c r="G47" s="28">
        <v>1.26</v>
      </c>
      <c r="H47" s="28">
        <v>1.1499999999999999</v>
      </c>
      <c r="I47" s="28">
        <v>0.9</v>
      </c>
    </row>
    <row r="48" spans="1:10" hidden="1" outlineLevel="1" x14ac:dyDescent="0.2">
      <c r="B48" s="1" t="s">
        <v>58</v>
      </c>
      <c r="D48" s="1">
        <v>225000</v>
      </c>
      <c r="E48" s="1">
        <v>243600</v>
      </c>
      <c r="F48" s="1">
        <v>286200</v>
      </c>
      <c r="G48" s="1">
        <v>423000</v>
      </c>
      <c r="H48" s="1">
        <v>413000</v>
      </c>
      <c r="I48" s="1">
        <v>517000</v>
      </c>
    </row>
    <row r="49" spans="2:11" s="28" customFormat="1" hidden="1" outlineLevel="1" x14ac:dyDescent="0.2">
      <c r="B49" s="28" t="s">
        <v>59</v>
      </c>
      <c r="D49" s="28">
        <v>0.4</v>
      </c>
      <c r="E49" s="28">
        <v>0.56999999999999995</v>
      </c>
      <c r="F49" s="28">
        <v>0.65</v>
      </c>
      <c r="G49" s="28">
        <v>1.54</v>
      </c>
      <c r="H49" s="28">
        <v>0.84</v>
      </c>
      <c r="I49" s="28">
        <v>1.1200000000000001</v>
      </c>
    </row>
    <row r="50" spans="2:11" hidden="1" outlineLevel="1" x14ac:dyDescent="0.2">
      <c r="B50" s="1" t="s">
        <v>60</v>
      </c>
      <c r="D50" s="1">
        <v>343.6</v>
      </c>
      <c r="E50" s="1">
        <v>389.7</v>
      </c>
      <c r="F50" s="1">
        <v>443.4</v>
      </c>
      <c r="G50" s="1">
        <v>477</v>
      </c>
      <c r="H50" s="1">
        <v>500</v>
      </c>
      <c r="I50" s="1">
        <v>515</v>
      </c>
    </row>
    <row r="51" spans="2:11" s="28" customFormat="1" hidden="1" outlineLevel="1" x14ac:dyDescent="0.2">
      <c r="B51" s="28" t="s">
        <v>61</v>
      </c>
      <c r="D51" s="28">
        <v>0.26</v>
      </c>
      <c r="E51" s="28">
        <v>0.38</v>
      </c>
      <c r="F51" s="28">
        <v>0.47</v>
      </c>
      <c r="G51" s="28">
        <v>0.61</v>
      </c>
      <c r="H51" s="28">
        <v>0.46</v>
      </c>
      <c r="I51" s="28">
        <v>0.32</v>
      </c>
    </row>
    <row r="52" spans="2:11" hidden="1" outlineLevel="1" x14ac:dyDescent="0.2">
      <c r="B52" s="1" t="s">
        <v>62</v>
      </c>
      <c r="D52" s="1">
        <v>36000</v>
      </c>
      <c r="E52" s="1">
        <v>21500</v>
      </c>
      <c r="F52" s="1">
        <v>14400</v>
      </c>
      <c r="G52" s="1">
        <v>71000</v>
      </c>
      <c r="H52" s="1">
        <v>46000</v>
      </c>
      <c r="I52" s="1">
        <v>28000</v>
      </c>
    </row>
    <row r="53" spans="2:11" s="28" customFormat="1" hidden="1" outlineLevel="1" x14ac:dyDescent="0.2">
      <c r="B53" s="28" t="s">
        <v>63</v>
      </c>
      <c r="D53" s="28">
        <v>2.2400000000000002</v>
      </c>
      <c r="E53" s="28">
        <v>1.37</v>
      </c>
      <c r="F53" s="28">
        <v>1.1200000000000001</v>
      </c>
      <c r="G53" s="28">
        <v>4</v>
      </c>
      <c r="H53" s="28">
        <v>0.46</v>
      </c>
      <c r="I53" s="28">
        <v>0.32</v>
      </c>
    </row>
    <row r="54" spans="2:11" hidden="1" outlineLevel="1" x14ac:dyDescent="0.2">
      <c r="B54" s="1" t="s">
        <v>64</v>
      </c>
      <c r="D54" s="1" t="s">
        <v>36</v>
      </c>
      <c r="E54" s="1" t="s">
        <v>36</v>
      </c>
      <c r="F54" s="1" t="s">
        <v>36</v>
      </c>
      <c r="G54" s="1" t="s">
        <v>36</v>
      </c>
      <c r="H54" s="1" t="s">
        <v>36</v>
      </c>
      <c r="I54" s="1">
        <v>7000</v>
      </c>
    </row>
    <row r="55" spans="2:11" s="28" customFormat="1" hidden="1" outlineLevel="1" x14ac:dyDescent="0.2">
      <c r="B55" s="28" t="s">
        <v>65</v>
      </c>
      <c r="D55" s="28" t="s">
        <v>36</v>
      </c>
      <c r="E55" s="28" t="s">
        <v>36</v>
      </c>
      <c r="F55" s="28" t="s">
        <v>36</v>
      </c>
      <c r="G55" s="28" t="s">
        <v>36</v>
      </c>
      <c r="H55" s="28" t="s">
        <v>36</v>
      </c>
      <c r="I55" s="28" t="s">
        <v>36</v>
      </c>
    </row>
    <row r="56" spans="2:11" collapsed="1" x14ac:dyDescent="0.2">
      <c r="B56" s="30" t="s">
        <v>113</v>
      </c>
      <c r="D56" s="6" t="e">
        <f>(D32/#REF!) -1</f>
        <v>#REF!</v>
      </c>
      <c r="E56" s="6" t="e">
        <f t="shared" ref="E56:I56" si="7">(E32/A32) -1</f>
        <v>#DIV/0!</v>
      </c>
      <c r="F56" s="6" t="e">
        <f t="shared" si="7"/>
        <v>#VALUE!</v>
      </c>
      <c r="G56" s="6" t="e">
        <f t="shared" si="7"/>
        <v>#DIV/0!</v>
      </c>
      <c r="H56" s="6">
        <f t="shared" si="7"/>
        <v>0.44375000000000009</v>
      </c>
      <c r="I56" s="6">
        <f t="shared" si="7"/>
        <v>0.56037151702786381</v>
      </c>
      <c r="J56" s="6">
        <f>(J32/F32) -1</f>
        <v>0.55728429985855721</v>
      </c>
    </row>
    <row r="58" spans="2:11" s="8" customFormat="1" ht="15" x14ac:dyDescent="0.25">
      <c r="B58" s="25" t="s">
        <v>18</v>
      </c>
      <c r="C58" s="25"/>
      <c r="D58" s="26"/>
    </row>
    <row r="59" spans="2:11" x14ac:dyDescent="0.2">
      <c r="B59" s="22" t="s">
        <v>17</v>
      </c>
      <c r="C59" s="22"/>
      <c r="D59" s="23"/>
      <c r="E59" s="23"/>
      <c r="F59" s="23"/>
      <c r="G59" s="23"/>
      <c r="H59" s="23"/>
    </row>
    <row r="60" spans="2:11" s="8" customFormat="1" ht="15" x14ac:dyDescent="0.25">
      <c r="B60" s="25" t="s">
        <v>12</v>
      </c>
      <c r="D60" s="8">
        <f t="shared" ref="D60:I60" si="8">D58-D59</f>
        <v>0</v>
      </c>
      <c r="E60" s="8">
        <f t="shared" si="8"/>
        <v>0</v>
      </c>
      <c r="F60" s="8">
        <f t="shared" si="8"/>
        <v>0</v>
      </c>
      <c r="G60" s="8">
        <f t="shared" si="8"/>
        <v>0</v>
      </c>
      <c r="H60" s="8">
        <f t="shared" si="8"/>
        <v>0</v>
      </c>
      <c r="I60" s="8">
        <f t="shared" si="8"/>
        <v>0</v>
      </c>
      <c r="J60" s="8">
        <f>J58-J59</f>
        <v>0</v>
      </c>
      <c r="K60" s="8">
        <f>K58-K59</f>
        <v>0</v>
      </c>
    </row>
    <row r="61" spans="2:11" x14ac:dyDescent="0.2">
      <c r="B61" s="22"/>
      <c r="D61" s="23"/>
    </row>
    <row r="62" spans="2:11" x14ac:dyDescent="0.2">
      <c r="B62" s="22" t="s">
        <v>28</v>
      </c>
      <c r="D62" s="6" t="e">
        <f>IF(#REF!=0,IF(D60=0,0,NA()),(D60-#REF!)/ABS(#REF!))</f>
        <v>#REF!</v>
      </c>
      <c r="E62" s="6" t="e">
        <f>IF(#REF!=0,IF(E60=0,0,NA()),(E60-#REF!)/ABS(#REF!))</f>
        <v>#REF!</v>
      </c>
      <c r="F62" s="6" t="e">
        <f>IF(#REF!=0,IF(F60=0,0,NA()),(F60-#REF!)/ABS(#REF!))</f>
        <v>#REF!</v>
      </c>
      <c r="G62" s="6" t="e">
        <f>IF(#REF!=0,IF(G60=0,0,NA()),(G60-#REF!)/ABS(#REF!))</f>
        <v>#REF!</v>
      </c>
      <c r="H62" s="6">
        <f>IF(D60=0,IF(H60=0,0,NA()),(H60-D60)/ABS(D60))</f>
        <v>0</v>
      </c>
      <c r="I62" s="6"/>
    </row>
    <row r="64" spans="2:11" ht="15" thickBot="1" x14ac:dyDescent="0.25">
      <c r="B64" s="22"/>
    </row>
    <row r="65" spans="2:18" x14ac:dyDescent="0.2">
      <c r="B65" s="10" t="s">
        <v>29</v>
      </c>
      <c r="C65" s="11"/>
      <c r="D65" s="11"/>
      <c r="E65" s="11"/>
      <c r="F65" s="11"/>
      <c r="G65" s="11"/>
      <c r="I65" s="12"/>
      <c r="J65" s="11"/>
      <c r="K65" s="11"/>
      <c r="L65" s="11"/>
      <c r="M65" s="11"/>
      <c r="N65" s="11"/>
      <c r="O65" s="11"/>
      <c r="P65" s="11"/>
      <c r="Q65" s="11"/>
      <c r="R65" s="13"/>
    </row>
    <row r="66" spans="2:18" x14ac:dyDescent="0.2">
      <c r="B66" s="14"/>
      <c r="R66" s="15"/>
    </row>
    <row r="67" spans="2:18" x14ac:dyDescent="0.2">
      <c r="B67" s="14"/>
      <c r="I67" s="16"/>
      <c r="R67" s="15"/>
    </row>
    <row r="68" spans="2:18" ht="15" thickBot="1" x14ac:dyDescent="0.25">
      <c r="B68" s="17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9"/>
    </row>
    <row r="69" spans="2:18" ht="15" thickBot="1" x14ac:dyDescent="0.25"/>
    <row r="70" spans="2:18" x14ac:dyDescent="0.2">
      <c r="B70" s="10" t="s">
        <v>31</v>
      </c>
      <c r="C70" s="11"/>
      <c r="D70" s="11"/>
      <c r="E70" s="11"/>
      <c r="F70" s="11"/>
      <c r="G70" s="11"/>
      <c r="J70" s="30" t="s">
        <v>99</v>
      </c>
    </row>
    <row r="71" spans="2:18" x14ac:dyDescent="0.2">
      <c r="B71" s="14"/>
      <c r="J71" s="30" t="s">
        <v>100</v>
      </c>
    </row>
    <row r="72" spans="2:18" x14ac:dyDescent="0.2">
      <c r="B72" s="14"/>
      <c r="D72" s="23"/>
      <c r="E72" s="23"/>
      <c r="G72" s="9"/>
      <c r="J72" s="30" t="s">
        <v>101</v>
      </c>
    </row>
    <row r="73" spans="2:18" x14ac:dyDescent="0.2">
      <c r="B73" s="14"/>
      <c r="J73" s="30" t="s">
        <v>102</v>
      </c>
    </row>
    <row r="74" spans="2:18" ht="15" thickBot="1" x14ac:dyDescent="0.25">
      <c r="B74" s="17"/>
      <c r="C74" s="18"/>
      <c r="D74" s="18"/>
      <c r="E74" s="18"/>
      <c r="F74" s="18"/>
      <c r="G74" s="18"/>
    </row>
    <row r="75" spans="2:18" ht="15" thickBot="1" x14ac:dyDescent="0.25"/>
    <row r="76" spans="2:18" x14ac:dyDescent="0.2">
      <c r="B76" s="10"/>
      <c r="C76" s="11"/>
    </row>
    <row r="77" spans="2:18" x14ac:dyDescent="0.2">
      <c r="B77" s="14"/>
    </row>
    <row r="78" spans="2:18" x14ac:dyDescent="0.2">
      <c r="B78" s="14"/>
    </row>
    <row r="79" spans="2:18" x14ac:dyDescent="0.2">
      <c r="B79" s="14"/>
    </row>
    <row r="80" spans="2:18" ht="15" thickBot="1" x14ac:dyDescent="0.25">
      <c r="B80" s="17"/>
      <c r="C80" s="18"/>
    </row>
    <row r="81" spans="2:18" ht="15" thickBot="1" x14ac:dyDescent="0.25"/>
    <row r="82" spans="2:18" x14ac:dyDescent="0.2">
      <c r="B82" s="10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3"/>
    </row>
    <row r="83" spans="2:18" x14ac:dyDescent="0.2">
      <c r="B83" s="14"/>
      <c r="R83" s="15"/>
    </row>
    <row r="84" spans="2:18" ht="15" customHeight="1" x14ac:dyDescent="0.2">
      <c r="B84" s="14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6"/>
    </row>
    <row r="85" spans="2:18" ht="15" customHeight="1" x14ac:dyDescent="0.2">
      <c r="B85" s="14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6"/>
    </row>
    <row r="86" spans="2:18" ht="15" customHeight="1" x14ac:dyDescent="0.2">
      <c r="B86" s="14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6"/>
    </row>
    <row r="87" spans="2:18" ht="15" customHeight="1" x14ac:dyDescent="0.2">
      <c r="B87" s="14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6"/>
    </row>
    <row r="88" spans="2:18" ht="15" customHeight="1" x14ac:dyDescent="0.2">
      <c r="B88" s="14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6"/>
    </row>
    <row r="89" spans="2:18" ht="15" customHeight="1" x14ac:dyDescent="0.2">
      <c r="B89" s="14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6"/>
    </row>
    <row r="90" spans="2:18" ht="15" customHeight="1" x14ac:dyDescent="0.2">
      <c r="B90" s="14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6"/>
    </row>
    <row r="91" spans="2:18" ht="15" customHeight="1" x14ac:dyDescent="0.2">
      <c r="B91" s="14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6"/>
    </row>
    <row r="92" spans="2:18" ht="15" customHeight="1" x14ac:dyDescent="0.2">
      <c r="B92" s="14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6"/>
    </row>
    <row r="93" spans="2:18" ht="15.75" customHeight="1" x14ac:dyDescent="0.2">
      <c r="B93" s="14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6"/>
    </row>
    <row r="94" spans="2:18" x14ac:dyDescent="0.2">
      <c r="B94" s="14"/>
      <c r="R94" s="15"/>
    </row>
    <row r="95" spans="2:18" x14ac:dyDescent="0.2">
      <c r="B95" s="14"/>
      <c r="R95" s="15"/>
    </row>
    <row r="96" spans="2:18" x14ac:dyDescent="0.2">
      <c r="B96" s="14"/>
      <c r="R96" s="15"/>
    </row>
    <row r="97" spans="2:18" x14ac:dyDescent="0.2">
      <c r="B97" s="14"/>
      <c r="R97" s="15"/>
    </row>
    <row r="98" spans="2:18" x14ac:dyDescent="0.2">
      <c r="B98" s="14"/>
      <c r="R98" s="15"/>
    </row>
    <row r="99" spans="2:18" x14ac:dyDescent="0.2">
      <c r="B99" s="14"/>
      <c r="R99" s="15"/>
    </row>
    <row r="100" spans="2:18" x14ac:dyDescent="0.2">
      <c r="B100" s="14"/>
      <c r="R100" s="15"/>
    </row>
    <row r="101" spans="2:18" x14ac:dyDescent="0.2">
      <c r="B101" s="14"/>
      <c r="R101" s="15"/>
    </row>
    <row r="102" spans="2:18" x14ac:dyDescent="0.2">
      <c r="B102" s="14"/>
      <c r="R102" s="15"/>
    </row>
    <row r="103" spans="2:18" x14ac:dyDescent="0.2">
      <c r="B103" s="14"/>
      <c r="R103" s="15"/>
    </row>
    <row r="104" spans="2:18" x14ac:dyDescent="0.2">
      <c r="B104" s="14"/>
      <c r="R104" s="15"/>
    </row>
    <row r="105" spans="2:18" x14ac:dyDescent="0.2">
      <c r="B105" s="14"/>
      <c r="R105" s="15"/>
    </row>
    <row r="106" spans="2:18" x14ac:dyDescent="0.2">
      <c r="B106" s="14"/>
      <c r="R106" s="15"/>
    </row>
    <row r="107" spans="2:18" ht="15" thickBot="1" x14ac:dyDescent="0.25">
      <c r="B107" s="17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9"/>
    </row>
  </sheetData>
  <dataConsolidate/>
  <mergeCells count="10">
    <mergeCell ref="C93:R93"/>
    <mergeCell ref="C84:R84"/>
    <mergeCell ref="C85:R85"/>
    <mergeCell ref="C86:R86"/>
    <mergeCell ref="C87:R87"/>
    <mergeCell ref="C88:R88"/>
    <mergeCell ref="C89:R89"/>
    <mergeCell ref="C90:R90"/>
    <mergeCell ref="C91:R91"/>
    <mergeCell ref="C92:R92"/>
  </mergeCells>
  <hyperlinks>
    <hyperlink ref="A1" location="Main!A1" display="Main" xr:uid="{8700012B-1663-4F72-A9B4-B92390B41D1E}"/>
  </hyperlinks>
  <pageMargins left="0.7" right="0.7" top="0.75" bottom="0.75" header="0.3" footer="0.3"/>
  <pageSetup orientation="portrait" horizontalDpi="1200" verticalDpi="1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A433F-9AC6-4D79-A331-274DD3CD1599}">
  <dimension ref="A1:B9"/>
  <sheetViews>
    <sheetView workbookViewId="0">
      <selection activeCell="A13" sqref="A13"/>
    </sheetView>
  </sheetViews>
  <sheetFormatPr defaultRowHeight="14.25" x14ac:dyDescent="0.2"/>
  <cols>
    <col min="1" max="1" width="32.28515625" style="1" bestFit="1" customWidth="1"/>
    <col min="2" max="16384" width="9.140625" style="1"/>
  </cols>
  <sheetData>
    <row r="1" spans="1:2" x14ac:dyDescent="0.2">
      <c r="A1" s="30" t="s">
        <v>96</v>
      </c>
      <c r="B1" s="1">
        <v>100</v>
      </c>
    </row>
    <row r="2" spans="1:2" x14ac:dyDescent="0.2">
      <c r="A2" s="30" t="s">
        <v>97</v>
      </c>
      <c r="B2" s="1">
        <v>12</v>
      </c>
    </row>
    <row r="9" spans="1:2" x14ac:dyDescent="0.2">
      <c r="A9" s="2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6AACC-FEA2-4C5B-AF79-59D39A66A975}">
  <dimension ref="A1:K7"/>
  <sheetViews>
    <sheetView workbookViewId="0">
      <selection activeCell="E13" sqref="E13"/>
    </sheetView>
  </sheetViews>
  <sheetFormatPr defaultRowHeight="14.25" x14ac:dyDescent="0.2"/>
  <cols>
    <col min="1" max="1" width="18" style="30" bestFit="1" customWidth="1"/>
    <col min="2" max="2" width="38" style="30" bestFit="1" customWidth="1"/>
    <col min="3" max="3" width="42.5703125" style="30" bestFit="1" customWidth="1"/>
    <col min="4" max="4" width="14.7109375" style="30" bestFit="1" customWidth="1"/>
    <col min="5" max="5" width="18.85546875" style="30" bestFit="1" customWidth="1"/>
    <col min="6" max="6" width="19" style="30" bestFit="1" customWidth="1"/>
    <col min="7" max="7" width="17" style="30" bestFit="1" customWidth="1"/>
    <col min="8" max="8" width="19.140625" style="30" bestFit="1" customWidth="1"/>
    <col min="9" max="9" width="13.42578125" style="30" bestFit="1" customWidth="1"/>
    <col min="10" max="10" width="19.7109375" style="30" bestFit="1" customWidth="1"/>
    <col min="11" max="11" width="13.7109375" style="30" bestFit="1" customWidth="1"/>
    <col min="12" max="16384" width="9.140625" style="30"/>
  </cols>
  <sheetData>
    <row r="1" spans="1:11" ht="30" x14ac:dyDescent="0.2">
      <c r="A1" s="31" t="s">
        <v>74</v>
      </c>
      <c r="B1" s="31" t="s">
        <v>75</v>
      </c>
      <c r="C1" s="31" t="s">
        <v>76</v>
      </c>
      <c r="D1" s="32" t="s">
        <v>91</v>
      </c>
      <c r="E1" s="32" t="s">
        <v>92</v>
      </c>
      <c r="F1" s="32" t="s">
        <v>39</v>
      </c>
      <c r="G1" s="32" t="s">
        <v>93</v>
      </c>
      <c r="H1" s="32" t="s">
        <v>77</v>
      </c>
      <c r="I1" s="32" t="s">
        <v>78</v>
      </c>
      <c r="J1" s="32" t="s">
        <v>94</v>
      </c>
      <c r="K1" s="32" t="s">
        <v>44</v>
      </c>
    </row>
    <row r="2" spans="1:11" x14ac:dyDescent="0.2">
      <c r="A2" s="33" t="s">
        <v>79</v>
      </c>
      <c r="B2" s="33" t="s">
        <v>80</v>
      </c>
      <c r="C2" s="33">
        <v>0.51</v>
      </c>
      <c r="D2" s="36">
        <v>7.76</v>
      </c>
      <c r="E2" s="34">
        <v>4</v>
      </c>
      <c r="F2" s="34" t="s">
        <v>95</v>
      </c>
      <c r="G2" s="34">
        <v>4.16</v>
      </c>
      <c r="H2" s="34" t="s">
        <v>95</v>
      </c>
      <c r="I2" s="34">
        <v>55.53</v>
      </c>
      <c r="J2" s="34" t="s">
        <v>95</v>
      </c>
      <c r="K2" s="34">
        <v>-1.08</v>
      </c>
    </row>
    <row r="3" spans="1:11" x14ac:dyDescent="0.2">
      <c r="A3" s="33" t="s">
        <v>81</v>
      </c>
      <c r="B3" s="33" t="s">
        <v>82</v>
      </c>
      <c r="C3" s="33">
        <v>4.2</v>
      </c>
      <c r="D3" s="35">
        <v>22.36</v>
      </c>
      <c r="E3" s="34">
        <v>11.14</v>
      </c>
      <c r="F3" s="34">
        <v>45.9</v>
      </c>
      <c r="G3" s="34">
        <v>21.95</v>
      </c>
      <c r="H3" s="34">
        <v>44.67</v>
      </c>
      <c r="I3" s="34">
        <v>44.41</v>
      </c>
      <c r="J3" s="34">
        <v>2.12</v>
      </c>
      <c r="K3" s="34">
        <v>2.39</v>
      </c>
    </row>
    <row r="4" spans="1:11" x14ac:dyDescent="0.2">
      <c r="A4" s="33" t="s">
        <v>83</v>
      </c>
      <c r="B4" s="33" t="s">
        <v>84</v>
      </c>
      <c r="C4" s="33">
        <v>6</v>
      </c>
      <c r="D4" s="34">
        <v>4.5</v>
      </c>
      <c r="E4" s="34">
        <v>5.37</v>
      </c>
      <c r="F4" s="34">
        <v>27.9</v>
      </c>
      <c r="G4" s="34">
        <v>3.9</v>
      </c>
      <c r="H4" s="35">
        <v>29.48</v>
      </c>
      <c r="I4" s="35">
        <v>26.87</v>
      </c>
      <c r="J4" s="34">
        <v>4.57</v>
      </c>
      <c r="K4" s="34">
        <v>2.0699999999999998</v>
      </c>
    </row>
    <row r="5" spans="1:11" x14ac:dyDescent="0.2">
      <c r="A5" s="33" t="s">
        <v>85</v>
      </c>
      <c r="B5" s="33" t="s">
        <v>86</v>
      </c>
      <c r="C5" s="33">
        <v>22.91</v>
      </c>
      <c r="D5" s="34">
        <v>7.1</v>
      </c>
      <c r="E5" s="34">
        <v>3.3</v>
      </c>
      <c r="F5" s="34">
        <v>9.1999999999999993</v>
      </c>
      <c r="G5" s="34">
        <v>4.8</v>
      </c>
      <c r="H5" s="35">
        <v>21.2</v>
      </c>
      <c r="I5" s="35">
        <v>16.66</v>
      </c>
      <c r="J5" s="34">
        <v>11.97</v>
      </c>
      <c r="K5" s="34">
        <v>4.2699999999999996</v>
      </c>
    </row>
    <row r="6" spans="1:11" x14ac:dyDescent="0.2">
      <c r="A6" s="33" t="s">
        <v>87</v>
      </c>
      <c r="B6" s="33" t="s">
        <v>88</v>
      </c>
      <c r="C6" s="33">
        <v>2.44</v>
      </c>
      <c r="D6" s="34">
        <v>8.75</v>
      </c>
      <c r="E6" s="34">
        <v>4.57</v>
      </c>
      <c r="F6" s="34" t="s">
        <v>95</v>
      </c>
      <c r="G6" s="34">
        <v>2.57</v>
      </c>
      <c r="H6" s="36">
        <v>17.190000000000001</v>
      </c>
      <c r="I6" s="36">
        <v>10.6</v>
      </c>
      <c r="J6" s="34" t="s">
        <v>95</v>
      </c>
      <c r="K6" s="34">
        <v>8.9499999999999993</v>
      </c>
    </row>
    <row r="7" spans="1:11" x14ac:dyDescent="0.2">
      <c r="A7" s="33" t="s">
        <v>89</v>
      </c>
      <c r="B7" s="33" t="s">
        <v>90</v>
      </c>
      <c r="C7" s="33">
        <v>0.42</v>
      </c>
      <c r="D7" s="34">
        <v>3.18</v>
      </c>
      <c r="E7" s="34">
        <v>1.85</v>
      </c>
      <c r="F7" s="34" t="s">
        <v>95</v>
      </c>
      <c r="G7" s="34" t="s">
        <v>95</v>
      </c>
      <c r="H7" s="36">
        <v>12.01</v>
      </c>
      <c r="I7" s="36">
        <v>9.4700000000000006</v>
      </c>
      <c r="J7" s="34" t="s">
        <v>95</v>
      </c>
      <c r="K7" s="34">
        <v>0.66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41BEE4C9A91F44BB4A4EF8E0A71E02" ma:contentTypeVersion="4" ma:contentTypeDescription="Create a new document." ma:contentTypeScope="" ma:versionID="d4db93f7cdcc50be3ddb7642c8d50e9a">
  <xsd:schema xmlns:xsd="http://www.w3.org/2001/XMLSchema" xmlns:xs="http://www.w3.org/2001/XMLSchema" xmlns:p="http://schemas.microsoft.com/office/2006/metadata/properties" xmlns:ns3="878aac0c-df32-40a9-a231-d93e9c7b9b1a" targetNamespace="http://schemas.microsoft.com/office/2006/metadata/properties" ma:root="true" ma:fieldsID="b63aaf3684aa43c37ed0cc1f5c2cf36e" ns3:_="">
    <xsd:import namespace="878aac0c-df32-40a9-a231-d93e9c7b9b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8aac0c-df32-40a9-a231-d93e9c7b9b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9D266F6-4EBB-4FCE-8CE5-50B9641EB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8aac0c-df32-40a9-a231-d93e9c7b9b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D65B96D-4012-4621-9665-52F685045C2D}">
  <ds:schemaRefs>
    <ds:schemaRef ds:uri="878aac0c-df32-40a9-a231-d93e9c7b9b1a"/>
    <ds:schemaRef ds:uri="http://schemas.microsoft.com/office/2006/documentManagement/types"/>
    <ds:schemaRef ds:uri="http://purl.org/dc/elements/1.1/"/>
    <ds:schemaRef ds:uri="http://www.w3.org/XML/1998/namespace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8A951E8-5D72-42FD-8030-87DD7D8D401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Model</vt:lpstr>
      <vt:lpstr>Debt</vt:lpstr>
      <vt:lpstr>Peer Comparisons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Quach</dc:creator>
  <cp:lastModifiedBy>Joey Chew</cp:lastModifiedBy>
  <dcterms:created xsi:type="dcterms:W3CDTF">2025-03-07T15:54:01Z</dcterms:created>
  <dcterms:modified xsi:type="dcterms:W3CDTF">2025-11-21T18:59:22Z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0x010100C341BEE4C9A91F44BB4A4EF8E0A71E02</vt:lpwstr>
  </property>
</Properties>
</file>