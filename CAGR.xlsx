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cuments\GitHub\Models\"/>
    </mc:Choice>
  </mc:AlternateContent>
  <xr:revisionPtr revIDLastSave="0" documentId="13_ncr:1_{CF30EC2F-42BB-4516-9B70-9C9DBD0F58F1}" xr6:coauthVersionLast="47" xr6:coauthVersionMax="47" xr10:uidLastSave="{00000000-0000-0000-0000-000000000000}"/>
  <bookViews>
    <workbookView xWindow="-120" yWindow="-120" windowWidth="38640" windowHeight="21120" xr2:uid="{35432E07-64DB-4725-B628-1785C3861C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E13" i="1"/>
  <c r="D13" i="1"/>
  <c r="F11" i="1"/>
  <c r="D11" i="1"/>
  <c r="C11" i="1"/>
</calcChain>
</file>

<file path=xl/sharedStrings.xml><?xml version="1.0" encoding="utf-8"?>
<sst xmlns="http://schemas.openxmlformats.org/spreadsheetml/2006/main" count="162" uniqueCount="61">
  <si>
    <t>YTD</t>
  </si>
  <si>
    <t>Major Positions</t>
  </si>
  <si>
    <t>Capital in USD</t>
  </si>
  <si>
    <t>OXY</t>
  </si>
  <si>
    <t>XOM - 42%</t>
  </si>
  <si>
    <t>OXY - 36%</t>
  </si>
  <si>
    <t>LMT - 21.5%</t>
  </si>
  <si>
    <t>LMT - 1%</t>
  </si>
  <si>
    <t>XOM - 40%</t>
  </si>
  <si>
    <t>SU - 59%</t>
  </si>
  <si>
    <t>PYPL - 10%</t>
  </si>
  <si>
    <t>SU - 53%</t>
  </si>
  <si>
    <t>XOM - 25%</t>
  </si>
  <si>
    <t>NASDAQ</t>
  </si>
  <si>
    <t>Sept - Dec 2021</t>
  </si>
  <si>
    <t>Since Inception</t>
  </si>
  <si>
    <t>SU - 80%</t>
  </si>
  <si>
    <t>XOM - 15%</t>
  </si>
  <si>
    <t>WISH - 5%</t>
  </si>
  <si>
    <t>XOM - 20%</t>
  </si>
  <si>
    <t xml:space="preserve">OXY - 50% </t>
  </si>
  <si>
    <t>SU - 25%</t>
  </si>
  <si>
    <t>BABA - 20%</t>
  </si>
  <si>
    <t>XOM - 17%</t>
  </si>
  <si>
    <t>TEVA - 33%</t>
  </si>
  <si>
    <t>DVN</t>
  </si>
  <si>
    <t>BABA</t>
  </si>
  <si>
    <t>TEVA</t>
  </si>
  <si>
    <t>ZIM</t>
  </si>
  <si>
    <t>VLDR</t>
  </si>
  <si>
    <t>BHC</t>
  </si>
  <si>
    <t>CASH</t>
  </si>
  <si>
    <t>HOOD</t>
  </si>
  <si>
    <t>OUST</t>
  </si>
  <si>
    <t>CGC</t>
  </si>
  <si>
    <t>NVAX</t>
  </si>
  <si>
    <t>IRBT</t>
  </si>
  <si>
    <t>SAVE</t>
  </si>
  <si>
    <t>TNDM</t>
  </si>
  <si>
    <t>HUMA</t>
  </si>
  <si>
    <t>ZI</t>
  </si>
  <si>
    <t>LUNR</t>
  </si>
  <si>
    <t>WBA</t>
  </si>
  <si>
    <t>ASTS</t>
  </si>
  <si>
    <t>SMCI</t>
  </si>
  <si>
    <t>SYM</t>
  </si>
  <si>
    <t>SMCX</t>
  </si>
  <si>
    <t>KSS</t>
  </si>
  <si>
    <t>SRPT</t>
  </si>
  <si>
    <t>FNMA</t>
  </si>
  <si>
    <t>CLBR</t>
  </si>
  <si>
    <t>GRAB</t>
  </si>
  <si>
    <t>ABVX</t>
  </si>
  <si>
    <t>OVID</t>
  </si>
  <si>
    <t>ACB</t>
  </si>
  <si>
    <t>MOH</t>
  </si>
  <si>
    <t>CAGR</t>
  </si>
  <si>
    <t>The Admiral's Fund</t>
  </si>
  <si>
    <t>S&amp;P 500</t>
  </si>
  <si>
    <t>DOW JONES</t>
  </si>
  <si>
    <t>Month 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</si>
</sst>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%"/>
  </numFmts>
  <fonts count="4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6100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0">
    <xf numFmtId="0" fontId="0" fillId="0" borderId="0" xfId="0"/>
    <xf numFmtId="17" fontId="0" fillId="0" borderId="0" xfId="0" applyNumberFormat="1"/>
    <xf numFmtId="0" fontId="3" fillId="0" borderId="0" xfId="0" applyFont="1"/>
    <xf numFmtId="44" fontId="0" fillId="0" borderId="0" xfId="1" applyFont="1"/>
    <xf numFmtId="10" fontId="0" fillId="0" borderId="0" xfId="2" applyNumberFormat="1" applyFont="1"/>
    <xf numFmtId="0" fontId="2" fillId="2" borderId="0" xfId="3"/>
    <xf numFmtId="10" fontId="2" fillId="2" borderId="0" xfId="3" applyNumberFormat="1"/>
    <xf numFmtId="10" fontId="0" fillId="0" borderId="0" xfId="2" applyNumberFormat="1" applyFont="1" applyFill="1"/>
    <xf numFmtId="0" fontId="0" fillId="0" borderId="0" xfId="0" applyAlignment="1">
      <alignment horizontal="center"/>
    </xf>
    <xf numFmtId="164" fontId="2" fillId="2" borderId="0" xfId="3" applyNumberFormat="1"/>
  </cellXfs>
  <cellStyles count="4">
    <cellStyle name="Currency" xfId="1" builtinId="4"/>
    <cellStyle name="Good" xfId="3" builtinId="2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Dollar Value Performance of</a:t>
            </a:r>
            <a:r>
              <a:rPr lang="en-CA" baseline="0"/>
              <a:t> The Admiral's Fund</a:t>
            </a:r>
            <a:endParaRPr lang="en-CA"/>
          </a:p>
        </c:rich>
      </c:tx>
      <c:layout>
        <c:manualLayout>
          <c:xMode val="edge"/>
          <c:yMode val="edge"/>
          <c:x val="0.34910931674247736"/>
          <c:y val="1.8518447086186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Sheet1!$B$1:$BA$1</c:f>
              <c:numCache>
                <c:formatCode>mmm\-yy</c:formatCode>
                <c:ptCount val="52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</c:numCache>
            </c:numRef>
          </c:cat>
          <c:val>
            <c:numRef>
              <c:f>Sheet1!$B$2:$BA$2</c:f>
              <c:numCache>
                <c:formatCode>_("$"* #,##0.00_);_("$"* \(#,##0.00\);_("$"* "-"??_);_(@_)</c:formatCode>
                <c:ptCount val="52"/>
                <c:pt idx="0">
                  <c:v>24090</c:v>
                </c:pt>
                <c:pt idx="1">
                  <c:v>28201</c:v>
                </c:pt>
                <c:pt idx="2">
                  <c:v>29407</c:v>
                </c:pt>
                <c:pt idx="3">
                  <c:v>29894.84</c:v>
                </c:pt>
                <c:pt idx="4">
                  <c:v>33308.99</c:v>
                </c:pt>
                <c:pt idx="5">
                  <c:v>39225</c:v>
                </c:pt>
                <c:pt idx="6">
                  <c:v>46595.12</c:v>
                </c:pt>
                <c:pt idx="7">
                  <c:v>45088.66</c:v>
                </c:pt>
                <c:pt idx="8">
                  <c:v>52610.38</c:v>
                </c:pt>
                <c:pt idx="9">
                  <c:v>46293.15</c:v>
                </c:pt>
                <c:pt idx="10">
                  <c:v>48205.71</c:v>
                </c:pt>
                <c:pt idx="11">
                  <c:v>67151.199999999997</c:v>
                </c:pt>
                <c:pt idx="12">
                  <c:v>66153.73</c:v>
                </c:pt>
                <c:pt idx="13">
                  <c:v>62174.7</c:v>
                </c:pt>
                <c:pt idx="14">
                  <c:v>66219.350000000006</c:v>
                </c:pt>
                <c:pt idx="15">
                  <c:v>61342.39</c:v>
                </c:pt>
                <c:pt idx="16">
                  <c:v>73329.17</c:v>
                </c:pt>
                <c:pt idx="17">
                  <c:v>68625.279999999999</c:v>
                </c:pt>
                <c:pt idx="18">
                  <c:v>68625.279999999999</c:v>
                </c:pt>
                <c:pt idx="19">
                  <c:v>61946.75</c:v>
                </c:pt>
                <c:pt idx="20">
                  <c:v>54921.9</c:v>
                </c:pt>
                <c:pt idx="21">
                  <c:v>58607.97</c:v>
                </c:pt>
                <c:pt idx="22">
                  <c:v>67927.23</c:v>
                </c:pt>
                <c:pt idx="23">
                  <c:v>77675.990000000005</c:v>
                </c:pt>
                <c:pt idx="24">
                  <c:v>82973.09</c:v>
                </c:pt>
                <c:pt idx="25">
                  <c:v>71390.52</c:v>
                </c:pt>
                <c:pt idx="26">
                  <c:v>67253.52</c:v>
                </c:pt>
                <c:pt idx="27">
                  <c:v>69830.59</c:v>
                </c:pt>
                <c:pt idx="28">
                  <c:v>89670.27</c:v>
                </c:pt>
                <c:pt idx="29">
                  <c:v>87577.01</c:v>
                </c:pt>
                <c:pt idx="30">
                  <c:v>120045</c:v>
                </c:pt>
                <c:pt idx="31">
                  <c:v>131261.57999999999</c:v>
                </c:pt>
                <c:pt idx="32">
                  <c:v>152914.26999999999</c:v>
                </c:pt>
                <c:pt idx="33">
                  <c:v>151091.28</c:v>
                </c:pt>
                <c:pt idx="34">
                  <c:v>150965.93</c:v>
                </c:pt>
                <c:pt idx="35">
                  <c:v>148893.15</c:v>
                </c:pt>
                <c:pt idx="36">
                  <c:v>160561</c:v>
                </c:pt>
                <c:pt idx="37">
                  <c:v>167787.28</c:v>
                </c:pt>
                <c:pt idx="38">
                  <c:v>190397.53</c:v>
                </c:pt>
                <c:pt idx="39">
                  <c:v>237439</c:v>
                </c:pt>
                <c:pt idx="40">
                  <c:v>235588.07</c:v>
                </c:pt>
                <c:pt idx="41">
                  <c:v>285106.21999999997</c:v>
                </c:pt>
                <c:pt idx="42">
                  <c:v>236666.07</c:v>
                </c:pt>
                <c:pt idx="43">
                  <c:v>208127.11</c:v>
                </c:pt>
                <c:pt idx="44">
                  <c:v>247669.05</c:v>
                </c:pt>
                <c:pt idx="45">
                  <c:v>158533.88</c:v>
                </c:pt>
                <c:pt idx="46">
                  <c:v>172574.51</c:v>
                </c:pt>
                <c:pt idx="47">
                  <c:v>198624.37</c:v>
                </c:pt>
                <c:pt idx="48">
                  <c:v>199897.89</c:v>
                </c:pt>
                <c:pt idx="49">
                  <c:v>239665.04</c:v>
                </c:pt>
                <c:pt idx="50">
                  <c:v>252319.63</c:v>
                </c:pt>
                <c:pt idx="51">
                  <c:v>292922.17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22-4C30-A7C3-2B1D48F30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75472"/>
        <c:axId val="45167792"/>
      </c:lineChart>
      <c:dateAx>
        <c:axId val="451754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67792"/>
        <c:crosses val="autoZero"/>
        <c:auto val="1"/>
        <c:lblOffset val="100"/>
        <c:baseTimeUnit val="months"/>
        <c:majorUnit val="1"/>
        <c:majorTimeUnit val="months"/>
      </c:dateAx>
      <c:valAx>
        <c:axId val="4516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75472"/>
        <c:crosses val="autoZero"/>
        <c:crossBetween val="between"/>
        <c:majorUnit val="25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Yearly</a:t>
            </a:r>
            <a:r>
              <a:rPr lang="en-CA" baseline="0"/>
              <a:t> Performance of The Admiral's Fund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>
        <c:manualLayout>
          <c:layoutTarget val="inner"/>
          <c:xMode val="edge"/>
          <c:yMode val="edge"/>
          <c:x val="0.12998381452318464"/>
          <c:y val="0.17171296296296298"/>
          <c:w val="0.8394606299212598"/>
          <c:h val="0.67145778652668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Sheet1!$A$11</c:f>
              <c:strCache>
                <c:ptCount val="1"/>
                <c:pt idx="0">
                  <c:v>The Admiral's Fund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Sheet1!$B$10:$F$10</c:f>
              <c:strCache>
                <c:ptCount val="5"/>
                <c:pt idx="0">
                  <c:v>Sept - Dec 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Sheet1!$B$11:$F$11</c:f>
              <c:numCache>
                <c:formatCode>0.00%</c:formatCode>
                <c:ptCount val="5"/>
                <c:pt idx="0">
                  <c:v>0.1085</c:v>
                </c:pt>
                <c:pt idx="1">
                  <c:v>0.84161663262680741</c:v>
                </c:pt>
                <c:pt idx="2">
                  <c:v>-4.7710617752798806E-2</c:v>
                </c:pt>
                <c:pt idx="3">
                  <c:v>1.2575000000000001</c:v>
                </c:pt>
                <c:pt idx="4">
                  <c:v>0.24336588860378192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4-4F58-9FA4-7682B9D74BC3}"/>
            </c:ext>
          </c:extLst>
        </c:ser>
        <c:ser>
          <c:idx val="1"/>
          <c:order val="1"/>
          <c:tx>
            <c:strRef>
              <c:f>Sheet1!$A$15</c:f>
              <c:strCache>
                <c:ptCount val="1"/>
                <c:pt idx="0">
                  <c:v>S&amp;P 500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Sheet1!$B$10:$F$10</c:f>
              <c:strCache>
                <c:ptCount val="5"/>
                <c:pt idx="0">
                  <c:v>Sept - Dec 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Sheet1!$B$15:$F$15</c:f>
              <c:numCache>
                <c:formatCode>0.00%</c:formatCode>
                <c:ptCount val="5"/>
                <c:pt idx="0">
                  <c:v>5.3499999999999999E-2</c:v>
                </c:pt>
                <c:pt idx="1">
                  <c:v>-0.19439999999999999</c:v>
                </c:pt>
                <c:pt idx="2">
                  <c:v>0.24229999999999999</c:v>
                </c:pt>
                <c:pt idx="3">
                  <c:v>0.2331</c:v>
                </c:pt>
                <c:pt idx="4">
                  <c:v>0.16389999999999999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04-4F58-9FA4-7682B9D74BC3}"/>
            </c:ext>
          </c:extLst>
        </c:ser>
        <c:ser>
          <c:idx val="2"/>
          <c:order val="2"/>
          <c:tx>
            <c:strRef>
              <c:f>Sheet1!$A$16</c:f>
              <c:strCache>
                <c:ptCount val="1"/>
                <c:pt idx="0">
                  <c:v>DOW JONES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Sheet1!$B$10:$F$10</c:f>
              <c:strCache>
                <c:ptCount val="5"/>
                <c:pt idx="0">
                  <c:v>Sept - Dec 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Sheet1!$B$16:$F$16</c:f>
              <c:numCache>
                <c:formatCode>0.00%</c:formatCode>
                <c:ptCount val="5"/>
                <c:pt idx="0">
                  <c:v>2.9000000000000001E-2</c:v>
                </c:pt>
                <c:pt idx="1">
                  <c:v>-8.7800000000000003E-2</c:v>
                </c:pt>
                <c:pt idx="2">
                  <c:v>0.13700000000000001</c:v>
                </c:pt>
                <c:pt idx="3">
                  <c:v>0.1288</c:v>
                </c:pt>
                <c:pt idx="4">
                  <c:v>0.12970000000000001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04-4F58-9FA4-7682B9D74BC3}"/>
            </c:ext>
          </c:extLst>
        </c:ser>
        <c:ser>
          <c:idx val="3"/>
          <c:order val="3"/>
          <c:tx>
            <c:strRef>
              <c:f>Sheet1!$A$17</c:f>
              <c:strCache>
                <c:ptCount val="1"/>
                <c:pt idx="0">
                  <c:v>NASDAQ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Sheet1!$B$10:$F$10</c:f>
              <c:strCache>
                <c:ptCount val="5"/>
                <c:pt idx="0">
                  <c:v>Sept - Dec 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Sheet1!$B$17:$F$17</c:f>
              <c:numCache>
                <c:formatCode>0.00%</c:formatCode>
                <c:ptCount val="5"/>
                <c:pt idx="0">
                  <c:v>2.1899999999999999E-2</c:v>
                </c:pt>
                <c:pt idx="1">
                  <c:v>-0.33100000000000002</c:v>
                </c:pt>
                <c:pt idx="2">
                  <c:v>0.43419999999999997</c:v>
                </c:pt>
                <c:pt idx="3">
                  <c:v>0.28639999999999999</c:v>
                </c:pt>
                <c:pt idx="4">
                  <c:v>0.2036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04-4F58-9FA4-7682B9D74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4791696"/>
        <c:axId val="1984785936"/>
      </c:barChart>
      <c:catAx>
        <c:axId val="198479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785936"/>
        <c:crosses val="autoZero"/>
        <c:auto val="1"/>
        <c:lblAlgn val="ctr"/>
        <c:lblOffset val="100"/>
        <c:noMultiLvlLbl val="0"/>
      </c:catAx>
      <c:valAx>
        <c:axId val="198478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79169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152399</xdr:colOff>
      <xdr:row>17</xdr:row>
      <xdr:rowOff>95249</xdr:rowOff>
    </xdr:from>
    <xdr:to>
      <xdr:col>10</xdr:col>
      <xdr:colOff>104775</xdr:colOff>
      <xdr:row>55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D8C9B8-62B7-77FD-5DFD-54C5BB780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195261</xdr:colOff>
      <xdr:row>17</xdr:row>
      <xdr:rowOff>104774</xdr:rowOff>
    </xdr:from>
    <xdr:to>
      <xdr:col>21</xdr:col>
      <xdr:colOff>190499</xdr:colOff>
      <xdr:row>50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B9E33A-F1DF-9F1A-D757-87A451CD7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6747B-C89E-462E-A935-1DDFFE0411EE}">
  <dimension ref="A1:BA17"/>
  <sheetViews>
    <sheetView tabSelected="1" workbookViewId="0">
      <selection activeCell="A2" sqref="A2"/>
    </sheetView>
  </sheetViews>
  <sheetFormatPr defaultRowHeight="14.25" outlineLevelRow="1" outlineLevelCol="1" x14ac:dyDescent="0.2"/>
  <cols>
    <col min="1" max="1" width="16.75" bestFit="1" customWidth="1"/>
    <col min="2" max="2" width="17.25" customWidth="1"/>
    <col min="3" max="6" width="11.125" bestFit="1" customWidth="1"/>
    <col min="7" max="31" width="11.125" customWidth="1" outlineLevel="1"/>
    <col min="32" max="53" width="12.125" customWidth="1" outlineLevel="1"/>
  </cols>
  <sheetData>
    <row r="1" spans="1:53" x14ac:dyDescent="0.2">
      <c r="A1" s="2" t="s">
        <v>60</v>
      </c>
      <c r="B1" s="1">
        <v>44440</v>
      </c>
      <c r="C1" s="1">
        <v>44470</v>
      </c>
      <c r="D1" s="1">
        <v>44501</v>
      </c>
      <c r="E1" s="1">
        <v>44531</v>
      </c>
      <c r="F1" s="1">
        <v>44562</v>
      </c>
      <c r="G1" s="1">
        <v>44593</v>
      </c>
      <c r="H1" s="1">
        <v>44621</v>
      </c>
      <c r="I1" s="1">
        <v>44652</v>
      </c>
      <c r="J1" s="1">
        <v>44682</v>
      </c>
      <c r="K1" s="1">
        <v>44713</v>
      </c>
      <c r="L1" s="1">
        <v>44743</v>
      </c>
      <c r="M1" s="1">
        <v>44774</v>
      </c>
      <c r="N1" s="1">
        <v>44805</v>
      </c>
      <c r="O1" s="1">
        <v>44835</v>
      </c>
      <c r="P1" s="1">
        <v>44866</v>
      </c>
      <c r="Q1" s="1">
        <v>44896</v>
      </c>
      <c r="R1" s="1">
        <v>44927</v>
      </c>
      <c r="S1" s="1">
        <v>44958</v>
      </c>
      <c r="T1" s="1">
        <v>44986</v>
      </c>
      <c r="U1" s="1">
        <v>45017</v>
      </c>
      <c r="V1" s="1">
        <v>45047</v>
      </c>
      <c r="W1" s="1">
        <v>45078</v>
      </c>
      <c r="X1" s="1">
        <v>45108</v>
      </c>
      <c r="Y1" s="1">
        <v>45139</v>
      </c>
      <c r="Z1" s="1">
        <v>45170</v>
      </c>
      <c r="AA1" s="1">
        <v>45200</v>
      </c>
      <c r="AB1" s="1">
        <v>45231</v>
      </c>
      <c r="AC1" s="1">
        <v>45261</v>
      </c>
      <c r="AD1" s="1">
        <v>45292</v>
      </c>
      <c r="AE1" s="1">
        <v>45323</v>
      </c>
      <c r="AF1" s="1">
        <v>45352</v>
      </c>
      <c r="AG1" s="1">
        <v>45383</v>
      </c>
      <c r="AH1" s="1">
        <v>45413</v>
      </c>
      <c r="AI1" s="1">
        <v>45444</v>
      </c>
      <c r="AJ1" s="1">
        <v>45474</v>
      </c>
      <c r="AK1" s="1">
        <v>45505</v>
      </c>
      <c r="AL1" s="1">
        <v>45536</v>
      </c>
      <c r="AM1" s="1">
        <v>45566</v>
      </c>
      <c r="AN1" s="1">
        <v>45597</v>
      </c>
      <c r="AO1" s="1">
        <v>45627</v>
      </c>
      <c r="AP1" s="1">
        <v>45658</v>
      </c>
      <c r="AQ1" s="1">
        <v>45689</v>
      </c>
      <c r="AR1" s="1">
        <v>45717</v>
      </c>
      <c r="AS1" s="1">
        <v>45748</v>
      </c>
      <c r="AT1" s="1">
        <v>45778</v>
      </c>
      <c r="AU1" s="1">
        <v>45809</v>
      </c>
      <c r="AV1" s="1">
        <v>45839</v>
      </c>
      <c r="AW1" s="1">
        <v>45870</v>
      </c>
      <c r="AX1" s="1">
        <v>45901</v>
      </c>
      <c r="AY1" s="1">
        <v>45931</v>
      </c>
      <c r="AZ1" s="1">
        <v>45962</v>
      </c>
      <c r="BA1" s="1">
        <v>45992</v>
      </c>
    </row>
    <row r="2" spans="1:53" s="3" customFormat="1" x14ac:dyDescent="0.2">
      <c r="A2" s="3" t="s">
        <v>2</v>
      </c>
      <c r="B2" s="3">
        <v>24090</v>
      </c>
      <c r="C2" s="3">
        <v>28201</v>
      </c>
      <c r="D2" s="3">
        <v>29407</v>
      </c>
      <c r="E2" s="3">
        <v>29894.84</v>
      </c>
      <c r="F2" s="3">
        <v>33308.99</v>
      </c>
      <c r="G2" s="3">
        <v>39225</v>
      </c>
      <c r="H2" s="3">
        <v>46595.12</v>
      </c>
      <c r="I2" s="3">
        <v>45088.66</v>
      </c>
      <c r="J2" s="3">
        <v>52610.38</v>
      </c>
      <c r="K2" s="3">
        <v>46293.15</v>
      </c>
      <c r="L2" s="3">
        <v>48205.71</v>
      </c>
      <c r="M2" s="3">
        <v>67151.199999999997</v>
      </c>
      <c r="N2" s="3">
        <v>66153.73</v>
      </c>
      <c r="O2" s="3">
        <v>62174.7</v>
      </c>
      <c r="P2" s="3">
        <v>66219.350000000006</v>
      </c>
      <c r="Q2" s="3">
        <v>61342.39</v>
      </c>
      <c r="R2" s="3">
        <v>73329.17</v>
      </c>
      <c r="S2" s="3">
        <v>68625.279999999999</v>
      </c>
      <c r="T2" s="3">
        <v>68625.279999999999</v>
      </c>
      <c r="U2" s="3">
        <v>61946.75</v>
      </c>
      <c r="V2" s="3">
        <v>54921.9</v>
      </c>
      <c r="W2" s="3">
        <v>58607.97</v>
      </c>
      <c r="X2" s="3">
        <v>67927.23</v>
      </c>
      <c r="Y2" s="3">
        <v>77675.990000000005</v>
      </c>
      <c r="Z2" s="3">
        <v>82973.09</v>
      </c>
      <c r="AA2" s="3">
        <v>71390.52</v>
      </c>
      <c r="AB2" s="3">
        <v>67253.52</v>
      </c>
      <c r="AC2" s="3">
        <v>69830.59</v>
      </c>
      <c r="AD2" s="3">
        <v>89670.27</v>
      </c>
      <c r="AE2" s="3">
        <v>87577.01</v>
      </c>
      <c r="AF2" s="3">
        <v>120045</v>
      </c>
      <c r="AG2" s="3">
        <v>131261.57999999999</v>
      </c>
      <c r="AH2" s="3">
        <v>152914.26999999999</v>
      </c>
      <c r="AI2" s="3">
        <v>151091.28</v>
      </c>
      <c r="AJ2" s="3">
        <v>150965.93</v>
      </c>
      <c r="AK2" s="3">
        <v>148893.15</v>
      </c>
      <c r="AL2" s="3">
        <v>160561</v>
      </c>
      <c r="AM2" s="3">
        <v>167787.28</v>
      </c>
      <c r="AN2" s="3">
        <v>190397.53</v>
      </c>
      <c r="AO2" s="3">
        <v>237439</v>
      </c>
      <c r="AP2" s="3">
        <v>235588.07</v>
      </c>
      <c r="AQ2" s="3">
        <v>285106.21999999997</v>
      </c>
      <c r="AR2" s="3">
        <v>236666.07</v>
      </c>
      <c r="AS2" s="3">
        <v>208127.11</v>
      </c>
      <c r="AT2" s="3">
        <v>247669.05</v>
      </c>
      <c r="AU2" s="3">
        <v>158533.88</v>
      </c>
      <c r="AV2" s="3">
        <v>172574.51</v>
      </c>
      <c r="AW2" s="3">
        <v>198624.37</v>
      </c>
      <c r="AX2" s="3">
        <v>199897.89</v>
      </c>
      <c r="AY2" s="3">
        <v>239665.04</v>
      </c>
      <c r="AZ2" s="3">
        <v>252319.63</v>
      </c>
      <c r="BA2" s="3">
        <v>292922.17</v>
      </c>
    </row>
    <row r="3" spans="1:53" x14ac:dyDescent="0.2">
      <c r="AB3" s="3"/>
    </row>
    <row r="5" spans="1:53" hidden="1" outlineLevel="1" x14ac:dyDescent="0.2">
      <c r="A5" t="s">
        <v>1</v>
      </c>
      <c r="B5" t="s">
        <v>4</v>
      </c>
      <c r="C5" t="s">
        <v>8</v>
      </c>
      <c r="D5" t="s">
        <v>12</v>
      </c>
      <c r="E5" t="s">
        <v>16</v>
      </c>
      <c r="F5" t="s">
        <v>16</v>
      </c>
      <c r="G5" t="s">
        <v>19</v>
      </c>
      <c r="H5" t="s">
        <v>22</v>
      </c>
      <c r="I5" t="s">
        <v>22</v>
      </c>
      <c r="J5" t="s">
        <v>3</v>
      </c>
      <c r="K5" t="s">
        <v>25</v>
      </c>
      <c r="L5" t="s">
        <v>25</v>
      </c>
      <c r="M5" t="s">
        <v>30</v>
      </c>
      <c r="N5" t="s">
        <v>31</v>
      </c>
      <c r="O5" t="s">
        <v>27</v>
      </c>
      <c r="P5" t="s">
        <v>32</v>
      </c>
      <c r="Q5" t="s">
        <v>32</v>
      </c>
      <c r="R5" t="s">
        <v>32</v>
      </c>
      <c r="S5" t="s">
        <v>33</v>
      </c>
      <c r="T5" t="s">
        <v>27</v>
      </c>
      <c r="U5" t="s">
        <v>27</v>
      </c>
      <c r="V5" t="s">
        <v>32</v>
      </c>
      <c r="W5" t="s">
        <v>32</v>
      </c>
      <c r="X5" t="s">
        <v>32</v>
      </c>
      <c r="Y5" t="s">
        <v>34</v>
      </c>
      <c r="Z5" t="s">
        <v>34</v>
      </c>
      <c r="AA5" t="s">
        <v>34</v>
      </c>
      <c r="AB5" t="s">
        <v>34</v>
      </c>
      <c r="AC5" t="s">
        <v>34</v>
      </c>
      <c r="AD5" t="s">
        <v>27</v>
      </c>
      <c r="AE5" t="s">
        <v>27</v>
      </c>
      <c r="AF5" t="s">
        <v>27</v>
      </c>
      <c r="AG5" t="s">
        <v>27</v>
      </c>
      <c r="AH5" t="s">
        <v>27</v>
      </c>
      <c r="AI5" t="s">
        <v>27</v>
      </c>
      <c r="AJ5" t="s">
        <v>27</v>
      </c>
      <c r="AK5" t="s">
        <v>27</v>
      </c>
      <c r="AL5" t="s">
        <v>27</v>
      </c>
      <c r="AM5" t="s">
        <v>27</v>
      </c>
      <c r="AN5" t="s">
        <v>27</v>
      </c>
      <c r="AO5" t="s">
        <v>27</v>
      </c>
      <c r="AP5" t="s">
        <v>27</v>
      </c>
      <c r="AQ5" t="s">
        <v>27</v>
      </c>
      <c r="AR5" t="s">
        <v>27</v>
      </c>
      <c r="AS5" t="s">
        <v>27</v>
      </c>
      <c r="AT5" t="s">
        <v>49</v>
      </c>
      <c r="AU5" t="s">
        <v>50</v>
      </c>
      <c r="AV5" t="s">
        <v>27</v>
      </c>
      <c r="AW5" t="s">
        <v>52</v>
      </c>
      <c r="AX5" t="s">
        <v>52</v>
      </c>
      <c r="AY5" t="s">
        <v>52</v>
      </c>
      <c r="AZ5" t="s">
        <v>52</v>
      </c>
      <c r="BA5" t="s">
        <v>52</v>
      </c>
    </row>
    <row r="6" spans="1:53" hidden="1" outlineLevel="1" x14ac:dyDescent="0.2">
      <c r="B6" t="s">
        <v>5</v>
      </c>
      <c r="C6" t="s">
        <v>9</v>
      </c>
      <c r="D6" t="s">
        <v>11</v>
      </c>
      <c r="E6" t="s">
        <v>17</v>
      </c>
      <c r="F6" t="s">
        <v>17</v>
      </c>
      <c r="G6" t="s">
        <v>20</v>
      </c>
      <c r="H6" t="s">
        <v>23</v>
      </c>
      <c r="I6" t="s">
        <v>23</v>
      </c>
      <c r="J6" t="s">
        <v>25</v>
      </c>
      <c r="K6" t="s">
        <v>27</v>
      </c>
      <c r="L6" t="s">
        <v>29</v>
      </c>
      <c r="M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33</v>
      </c>
      <c r="U6" t="s">
        <v>32</v>
      </c>
      <c r="V6" t="s">
        <v>27</v>
      </c>
      <c r="W6" t="s">
        <v>27</v>
      </c>
      <c r="X6" t="s">
        <v>27</v>
      </c>
      <c r="Y6" t="s">
        <v>27</v>
      </c>
      <c r="Z6" t="s">
        <v>35</v>
      </c>
      <c r="AA6" t="s">
        <v>35</v>
      </c>
      <c r="AB6" t="s">
        <v>35</v>
      </c>
      <c r="AC6" t="s">
        <v>27</v>
      </c>
      <c r="AD6" t="s">
        <v>34</v>
      </c>
      <c r="AE6" t="s">
        <v>34</v>
      </c>
      <c r="AF6" t="s">
        <v>34</v>
      </c>
      <c r="AG6" t="s">
        <v>34</v>
      </c>
      <c r="AH6" t="s">
        <v>30</v>
      </c>
      <c r="AI6" t="s">
        <v>30</v>
      </c>
      <c r="AJ6" t="s">
        <v>37</v>
      </c>
      <c r="AK6" t="s">
        <v>37</v>
      </c>
      <c r="AL6" t="s">
        <v>42</v>
      </c>
      <c r="AM6" t="s">
        <v>30</v>
      </c>
      <c r="AN6" t="s">
        <v>44</v>
      </c>
      <c r="AO6" t="s">
        <v>44</v>
      </c>
      <c r="AP6" t="s">
        <v>44</v>
      </c>
      <c r="AQ6" t="s">
        <v>44</v>
      </c>
      <c r="AR6" t="s">
        <v>47</v>
      </c>
      <c r="AS6" t="s">
        <v>47</v>
      </c>
      <c r="AT6" t="s">
        <v>48</v>
      </c>
      <c r="AU6" t="s">
        <v>47</v>
      </c>
      <c r="AV6" t="s">
        <v>51</v>
      </c>
      <c r="AW6" t="s">
        <v>34</v>
      </c>
      <c r="AX6" t="s">
        <v>34</v>
      </c>
      <c r="AY6" t="s">
        <v>54</v>
      </c>
      <c r="AZ6" t="s">
        <v>34</v>
      </c>
      <c r="BA6" t="s">
        <v>55</v>
      </c>
    </row>
    <row r="7" spans="1:53" hidden="1" outlineLevel="1" x14ac:dyDescent="0.2">
      <c r="B7" t="s">
        <v>6</v>
      </c>
      <c r="C7" t="s">
        <v>7</v>
      </c>
      <c r="D7" t="s">
        <v>10</v>
      </c>
      <c r="E7" t="s">
        <v>18</v>
      </c>
      <c r="F7" t="s">
        <v>18</v>
      </c>
      <c r="G7" t="s">
        <v>21</v>
      </c>
      <c r="H7" t="s">
        <v>24</v>
      </c>
      <c r="J7" t="s">
        <v>26</v>
      </c>
      <c r="K7" t="s">
        <v>28</v>
      </c>
      <c r="Q7" t="s">
        <v>29</v>
      </c>
      <c r="R7" t="s">
        <v>28</v>
      </c>
      <c r="S7" t="s">
        <v>28</v>
      </c>
      <c r="Z7" t="s">
        <v>27</v>
      </c>
      <c r="AA7" t="s">
        <v>27</v>
      </c>
      <c r="AB7" t="s">
        <v>27</v>
      </c>
      <c r="AC7" t="s">
        <v>35</v>
      </c>
      <c r="AD7" t="s">
        <v>36</v>
      </c>
      <c r="AG7" t="s">
        <v>30</v>
      </c>
      <c r="AH7" t="s">
        <v>37</v>
      </c>
      <c r="AI7" t="s">
        <v>37</v>
      </c>
      <c r="AJ7" t="s">
        <v>40</v>
      </c>
      <c r="AK7" t="s">
        <v>41</v>
      </c>
      <c r="AL7" t="s">
        <v>30</v>
      </c>
      <c r="AM7" t="s">
        <v>43</v>
      </c>
      <c r="AN7" t="s">
        <v>30</v>
      </c>
      <c r="AO7" t="s">
        <v>45</v>
      </c>
      <c r="AP7" t="s">
        <v>46</v>
      </c>
      <c r="AQ7" t="s">
        <v>46</v>
      </c>
      <c r="AS7" t="s">
        <v>48</v>
      </c>
      <c r="AT7" t="s">
        <v>47</v>
      </c>
      <c r="AU7" t="s">
        <v>48</v>
      </c>
      <c r="AV7" t="s">
        <v>52</v>
      </c>
      <c r="AW7" t="s">
        <v>51</v>
      </c>
      <c r="AX7" t="s">
        <v>53</v>
      </c>
      <c r="AY7" t="s">
        <v>34</v>
      </c>
      <c r="AZ7" t="s">
        <v>54</v>
      </c>
    </row>
    <row r="8" spans="1:53" hidden="1" outlineLevel="1" x14ac:dyDescent="0.2">
      <c r="G8" t="s">
        <v>18</v>
      </c>
      <c r="H8" t="s">
        <v>3</v>
      </c>
      <c r="J8" t="s">
        <v>27</v>
      </c>
      <c r="R8" t="s">
        <v>29</v>
      </c>
      <c r="AH8" t="s">
        <v>38</v>
      </c>
      <c r="AK8" t="s">
        <v>42</v>
      </c>
      <c r="AL8" t="s">
        <v>33</v>
      </c>
      <c r="AO8" t="s">
        <v>42</v>
      </c>
      <c r="AP8" t="s">
        <v>42</v>
      </c>
      <c r="AQ8" t="s">
        <v>47</v>
      </c>
      <c r="AS8" t="s">
        <v>35</v>
      </c>
      <c r="AU8" t="s">
        <v>51</v>
      </c>
    </row>
    <row r="9" spans="1:53" hidden="1" outlineLevel="1" x14ac:dyDescent="0.2">
      <c r="AH9" t="s">
        <v>39</v>
      </c>
    </row>
    <row r="10" spans="1:53" collapsed="1" x14ac:dyDescent="0.2">
      <c r="A10" t="s">
        <v>0</v>
      </c>
      <c r="B10" t="s">
        <v>14</v>
      </c>
      <c r="C10">
        <v>2022</v>
      </c>
      <c r="D10">
        <v>2023</v>
      </c>
      <c r="E10">
        <v>2024</v>
      </c>
      <c r="F10">
        <v>2025</v>
      </c>
    </row>
    <row r="11" spans="1:53" s="4" customFormat="1" x14ac:dyDescent="0.2">
      <c r="A11" s="4" t="s">
        <v>57</v>
      </c>
      <c r="B11" s="7">
        <v>0.1085</v>
      </c>
      <c r="C11" s="4">
        <f xml:space="preserve"> (Q2 - F2) / F2</f>
        <v>0.84161663262680741</v>
      </c>
      <c r="D11" s="4">
        <f xml:space="preserve"> (AC2 - R2) / R2</f>
        <v>-4.7710617752798806E-2</v>
      </c>
      <c r="E11" s="4">
        <v>1.2575000000000001</v>
      </c>
      <c r="F11" s="4">
        <f>(BA2-AP2) / AP2</f>
        <v>0.24336588860378192</v>
      </c>
    </row>
    <row r="12" spans="1:53" x14ac:dyDescent="0.2">
      <c r="B12" s="8"/>
    </row>
    <row r="13" spans="1:53" s="4" customFormat="1" x14ac:dyDescent="0.2">
      <c r="A13" s="4" t="s">
        <v>15</v>
      </c>
      <c r="B13" s="4">
        <v>0.1085</v>
      </c>
      <c r="C13" s="4">
        <v>0.6946</v>
      </c>
      <c r="D13" s="4">
        <f xml:space="preserve"> (AC2 - $B2) / $B2</f>
        <v>1.8987376504773763</v>
      </c>
      <c r="E13" s="4">
        <f xml:space="preserve"> (AO2 - $B2) / $B2</f>
        <v>8.8563304275633037</v>
      </c>
      <c r="F13" s="4">
        <f xml:space="preserve"> (BA2 - $B2) / $B2</f>
        <v>11.159492320464922</v>
      </c>
    </row>
    <row r="14" spans="1:53" s="5" customFormat="1" x14ac:dyDescent="0.2">
      <c r="A14" s="5" t="s">
        <v>56</v>
      </c>
      <c r="B14" s="6"/>
      <c r="C14" s="6"/>
      <c r="F14" s="9">
        <f>_xlfn.RRI(4.25, B2, BA2)</f>
        <v>0.80000711525341628</v>
      </c>
    </row>
    <row r="15" spans="1:53" s="4" customFormat="1" x14ac:dyDescent="0.2">
      <c r="A15" s="4" t="s">
        <v>58</v>
      </c>
      <c r="B15" s="4">
        <v>5.3499999999999999E-2</v>
      </c>
      <c r="C15" s="4">
        <v>-0.19439999999999999</v>
      </c>
      <c r="D15" s="4">
        <v>0.24229999999999999</v>
      </c>
      <c r="E15" s="4">
        <v>0.2331</v>
      </c>
      <c r="F15" s="4">
        <v>0.16389999999999999</v>
      </c>
    </row>
    <row r="16" spans="1:53" s="4" customFormat="1" x14ac:dyDescent="0.2">
      <c r="A16" s="4" t="s">
        <v>59</v>
      </c>
      <c r="B16" s="4">
        <v>2.9000000000000001E-2</v>
      </c>
      <c r="C16" s="4">
        <v>-8.7800000000000003E-2</v>
      </c>
      <c r="D16" s="4">
        <v>0.13700000000000001</v>
      </c>
      <c r="E16" s="4">
        <v>0.1288</v>
      </c>
      <c r="F16" s="4">
        <v>0.12970000000000001</v>
      </c>
    </row>
    <row r="17" spans="1:6" s="4" customFormat="1" x14ac:dyDescent="0.2">
      <c r="A17" s="4" t="s">
        <v>13</v>
      </c>
      <c r="B17" s="4">
        <v>2.1899999999999999E-2</v>
      </c>
      <c r="C17" s="4">
        <v>-0.33100000000000002</v>
      </c>
      <c r="D17" s="4">
        <v>0.43419999999999997</v>
      </c>
      <c r="E17" s="4">
        <v>0.28639999999999999</v>
      </c>
      <c r="F17" s="4">
        <v>0.2036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Chew</dc:creator>
  <cp:lastModifiedBy>Joey Chew</cp:lastModifiedBy>
  <dcterms:created xsi:type="dcterms:W3CDTF">2026-01-02T21:49:58Z</dcterms:created>
  <dcterms:modified xsi:type="dcterms:W3CDTF">2026-01-03T03:54:15Z</dcterms:modified>
</cp:coreProperties>
</file>